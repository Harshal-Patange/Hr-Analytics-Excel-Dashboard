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Win11\Desktop\"/>
    </mc:Choice>
  </mc:AlternateContent>
  <xr:revisionPtr revIDLastSave="0" documentId="13_ncr:1_{74CAC9A1-E5A2-468C-864E-0F684645641D}" xr6:coauthVersionLast="47" xr6:coauthVersionMax="47" xr10:uidLastSave="{00000000-0000-0000-0000-000000000000}"/>
  <bookViews>
    <workbookView xWindow="-110" yWindow="-110" windowWidth="19420" windowHeight="10300" firstSheet="1" activeTab="2" xr2:uid="{00000000-000D-0000-FFFF-FFFF00000000}"/>
  </bookViews>
  <sheets>
    <sheet name="Sheet2" sheetId="3" state="hidden" r:id="rId1"/>
    <sheet name="HR_Data" sheetId="1" r:id="rId2"/>
    <sheet name="HR Analytics Dashboard" sheetId="4" r:id="rId3"/>
  </sheets>
  <definedNames>
    <definedName name="Slicer_Attrition">#N/A</definedName>
    <definedName name="Slicer_Gender">#N/A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alcChain>
</file>

<file path=xl/sharedStrings.xml><?xml version="1.0" encoding="utf-8"?>
<sst xmlns="http://schemas.openxmlformats.org/spreadsheetml/2006/main" count="1502" uniqueCount="429">
  <si>
    <t>Employee_ID</t>
  </si>
  <si>
    <t>Employee_Name</t>
  </si>
  <si>
    <t>Gender</t>
  </si>
  <si>
    <t>Department</t>
  </si>
  <si>
    <t>Job_Role</t>
  </si>
  <si>
    <t>Hire_Date</t>
  </si>
  <si>
    <t>Salary</t>
  </si>
  <si>
    <t>Performance_Rating</t>
  </si>
  <si>
    <t>Attendance_%</t>
  </si>
  <si>
    <t>Overtime_Hours</t>
  </si>
  <si>
    <t>Attrition</t>
  </si>
  <si>
    <t>Region</t>
  </si>
  <si>
    <t>E001</t>
  </si>
  <si>
    <t>Neha 59</t>
  </si>
  <si>
    <t>Female</t>
  </si>
  <si>
    <t>Marketing</t>
  </si>
  <si>
    <t>Analyst</t>
  </si>
  <si>
    <t>No</t>
  </si>
  <si>
    <t>South</t>
  </si>
  <si>
    <t>E002</t>
  </si>
  <si>
    <t>Priya 29</t>
  </si>
  <si>
    <t>IT</t>
  </si>
  <si>
    <t>Executive</t>
  </si>
  <si>
    <t>East</t>
  </si>
  <si>
    <t>E003</t>
  </si>
  <si>
    <t>Rahul 72</t>
  </si>
  <si>
    <t>Sales</t>
  </si>
  <si>
    <t>Manager</t>
  </si>
  <si>
    <t>West</t>
  </si>
  <si>
    <t>E004</t>
  </si>
  <si>
    <t>Anjali 63</t>
  </si>
  <si>
    <t>HR</t>
  </si>
  <si>
    <t>Associate</t>
  </si>
  <si>
    <t>Yes</t>
  </si>
  <si>
    <t>North</t>
  </si>
  <si>
    <t>E005</t>
  </si>
  <si>
    <t>Vikram 14</t>
  </si>
  <si>
    <t>E006</t>
  </si>
  <si>
    <t>Rohit 15</t>
  </si>
  <si>
    <t>Male</t>
  </si>
  <si>
    <t>E007</t>
  </si>
  <si>
    <t>Anjali 49</t>
  </si>
  <si>
    <t>E008</t>
  </si>
  <si>
    <t>Anjali 81</t>
  </si>
  <si>
    <t>Finance</t>
  </si>
  <si>
    <t>E009</t>
  </si>
  <si>
    <t>Pooja 43</t>
  </si>
  <si>
    <t>E010</t>
  </si>
  <si>
    <t>Sneha 94</t>
  </si>
  <si>
    <t>E011</t>
  </si>
  <si>
    <t>Neha 22</t>
  </si>
  <si>
    <t>E012</t>
  </si>
  <si>
    <t>Vikram 6</t>
  </si>
  <si>
    <t>E013</t>
  </si>
  <si>
    <t>Arjun 84</t>
  </si>
  <si>
    <t>E014</t>
  </si>
  <si>
    <t>Pooja 15</t>
  </si>
  <si>
    <t>E015</t>
  </si>
  <si>
    <t>Rohit 11</t>
  </si>
  <si>
    <t>E016</t>
  </si>
  <si>
    <t>Amit 38</t>
  </si>
  <si>
    <t>E017</t>
  </si>
  <si>
    <t>Rohit 28</t>
  </si>
  <si>
    <t>E018</t>
  </si>
  <si>
    <t>Anjali 15</t>
  </si>
  <si>
    <t>E019</t>
  </si>
  <si>
    <t>Rohit 73</t>
  </si>
  <si>
    <t>E020</t>
  </si>
  <si>
    <t>Amit 41</t>
  </si>
  <si>
    <t>E021</t>
  </si>
  <si>
    <t>Anjali 21</t>
  </si>
  <si>
    <t>E022</t>
  </si>
  <si>
    <t>Anjali 73</t>
  </si>
  <si>
    <t>E023</t>
  </si>
  <si>
    <t>Amit 48</t>
  </si>
  <si>
    <t>E024</t>
  </si>
  <si>
    <t>Anjali 72</t>
  </si>
  <si>
    <t>E025</t>
  </si>
  <si>
    <t>Pooja 65</t>
  </si>
  <si>
    <t>E026</t>
  </si>
  <si>
    <t>Priya 13</t>
  </si>
  <si>
    <t>E027</t>
  </si>
  <si>
    <t>Amit 54</t>
  </si>
  <si>
    <t>E028</t>
  </si>
  <si>
    <t>Arjun 23</t>
  </si>
  <si>
    <t>E029</t>
  </si>
  <si>
    <t>Arjun 98</t>
  </si>
  <si>
    <t>E030</t>
  </si>
  <si>
    <t>Arjun 72</t>
  </si>
  <si>
    <t>E031</t>
  </si>
  <si>
    <t>Rohit 85</t>
  </si>
  <si>
    <t>E032</t>
  </si>
  <si>
    <t>Pooja 61</t>
  </si>
  <si>
    <t>E033</t>
  </si>
  <si>
    <t>Amit 4</t>
  </si>
  <si>
    <t>E034</t>
  </si>
  <si>
    <t>Vikram 41</t>
  </si>
  <si>
    <t>E035</t>
  </si>
  <si>
    <t>Arjun 73</t>
  </si>
  <si>
    <t>E036</t>
  </si>
  <si>
    <t>Amit 51</t>
  </si>
  <si>
    <t>E037</t>
  </si>
  <si>
    <t>Anjali 18</t>
  </si>
  <si>
    <t>E038</t>
  </si>
  <si>
    <t>Sneha 75</t>
  </si>
  <si>
    <t>E039</t>
  </si>
  <si>
    <t>Rahul 84</t>
  </si>
  <si>
    <t>E040</t>
  </si>
  <si>
    <t>Anjali 37</t>
  </si>
  <si>
    <t>E041</t>
  </si>
  <si>
    <t>Priya 4</t>
  </si>
  <si>
    <t>E042</t>
  </si>
  <si>
    <t>Neha 67</t>
  </si>
  <si>
    <t>E043</t>
  </si>
  <si>
    <t>Sneha 57</t>
  </si>
  <si>
    <t>E044</t>
  </si>
  <si>
    <t>Vikram 20</t>
  </si>
  <si>
    <t>E045</t>
  </si>
  <si>
    <t>Rahul 53</t>
  </si>
  <si>
    <t>E046</t>
  </si>
  <si>
    <t>Neha 31</t>
  </si>
  <si>
    <t>E047</t>
  </si>
  <si>
    <t>Amit 69</t>
  </si>
  <si>
    <t>E048</t>
  </si>
  <si>
    <t>Pooja 44</t>
  </si>
  <si>
    <t>E049</t>
  </si>
  <si>
    <t>Amit 27</t>
  </si>
  <si>
    <t>E050</t>
  </si>
  <si>
    <t>Anjali 67</t>
  </si>
  <si>
    <t>E051</t>
  </si>
  <si>
    <t>Vikram 27</t>
  </si>
  <si>
    <t>E052</t>
  </si>
  <si>
    <t>Pooja 8</t>
  </si>
  <si>
    <t>E053</t>
  </si>
  <si>
    <t>Anjali 27</t>
  </si>
  <si>
    <t>E054</t>
  </si>
  <si>
    <t>Vikram 56</t>
  </si>
  <si>
    <t>E055</t>
  </si>
  <si>
    <t>Rahul 83</t>
  </si>
  <si>
    <t>E056</t>
  </si>
  <si>
    <t>Neha 60</t>
  </si>
  <si>
    <t>E057</t>
  </si>
  <si>
    <t>Amit 8</t>
  </si>
  <si>
    <t>E058</t>
  </si>
  <si>
    <t>Priya 74</t>
  </si>
  <si>
    <t>E059</t>
  </si>
  <si>
    <t>Neha 8</t>
  </si>
  <si>
    <t>E060</t>
  </si>
  <si>
    <t>Pooja 38</t>
  </si>
  <si>
    <t>E061</t>
  </si>
  <si>
    <t>Rahul 67</t>
  </si>
  <si>
    <t>E062</t>
  </si>
  <si>
    <t>Anjali 76</t>
  </si>
  <si>
    <t>E063</t>
  </si>
  <si>
    <t>E064</t>
  </si>
  <si>
    <t>Arjun 19</t>
  </si>
  <si>
    <t>E065</t>
  </si>
  <si>
    <t>Anjali 7</t>
  </si>
  <si>
    <t>E066</t>
  </si>
  <si>
    <t>E067</t>
  </si>
  <si>
    <t>Neha 39</t>
  </si>
  <si>
    <t>E068</t>
  </si>
  <si>
    <t>Arjun 76</t>
  </si>
  <si>
    <t>E069</t>
  </si>
  <si>
    <t>Anjali 51</t>
  </si>
  <si>
    <t>E070</t>
  </si>
  <si>
    <t>Amit 26</t>
  </si>
  <si>
    <t>E071</t>
  </si>
  <si>
    <t>E072</t>
  </si>
  <si>
    <t>Neha 13</t>
  </si>
  <si>
    <t>E073</t>
  </si>
  <si>
    <t>Neha 74</t>
  </si>
  <si>
    <t>E074</t>
  </si>
  <si>
    <t>Anjali 44</t>
  </si>
  <si>
    <t>E075</t>
  </si>
  <si>
    <t>Priya 52</t>
  </si>
  <si>
    <t>E076</t>
  </si>
  <si>
    <t>Rohit 57</t>
  </si>
  <si>
    <t>E077</t>
  </si>
  <si>
    <t>Rohit 62</t>
  </si>
  <si>
    <t>E078</t>
  </si>
  <si>
    <t>E079</t>
  </si>
  <si>
    <t>Rahul 37</t>
  </si>
  <si>
    <t>E080</t>
  </si>
  <si>
    <t>Sneha 64</t>
  </si>
  <si>
    <t>E081</t>
  </si>
  <si>
    <t>Pooja 25</t>
  </si>
  <si>
    <t>E082</t>
  </si>
  <si>
    <t>Vikram 97</t>
  </si>
  <si>
    <t>E083</t>
  </si>
  <si>
    <t>Rohit 21</t>
  </si>
  <si>
    <t>E084</t>
  </si>
  <si>
    <t>Anjali 6</t>
  </si>
  <si>
    <t>E085</t>
  </si>
  <si>
    <t>Vikram 22</t>
  </si>
  <si>
    <t>E086</t>
  </si>
  <si>
    <t>Pooja 49</t>
  </si>
  <si>
    <t>E087</t>
  </si>
  <si>
    <t>Rohit 5</t>
  </si>
  <si>
    <t>E088</t>
  </si>
  <si>
    <t>Arjun 16</t>
  </si>
  <si>
    <t>E089</t>
  </si>
  <si>
    <t>Sneha 38</t>
  </si>
  <si>
    <t>E090</t>
  </si>
  <si>
    <t>Pooja 53</t>
  </si>
  <si>
    <t>E091</t>
  </si>
  <si>
    <t>Sneha 52</t>
  </si>
  <si>
    <t>E092</t>
  </si>
  <si>
    <t>E093</t>
  </si>
  <si>
    <t>Rahul 62</t>
  </si>
  <si>
    <t>E094</t>
  </si>
  <si>
    <t>Priya 53</t>
  </si>
  <si>
    <t>E095</t>
  </si>
  <si>
    <t>Priya 32</t>
  </si>
  <si>
    <t>E096</t>
  </si>
  <si>
    <t>Rohit 53</t>
  </si>
  <si>
    <t>E097</t>
  </si>
  <si>
    <t>Vikram 94</t>
  </si>
  <si>
    <t>E098</t>
  </si>
  <si>
    <t>Vikram 47</t>
  </si>
  <si>
    <t>E099</t>
  </si>
  <si>
    <t>Anjali 82</t>
  </si>
  <si>
    <t>E100</t>
  </si>
  <si>
    <t>Anjali 28</t>
  </si>
  <si>
    <t>E101</t>
  </si>
  <si>
    <t>Rahul 48</t>
  </si>
  <si>
    <t>E102</t>
  </si>
  <si>
    <t>Anjali 13</t>
  </si>
  <si>
    <t>E103</t>
  </si>
  <si>
    <t>Rohit 89</t>
  </si>
  <si>
    <t>E104</t>
  </si>
  <si>
    <t>Arjun 22</t>
  </si>
  <si>
    <t>E105</t>
  </si>
  <si>
    <t>Amit 44</t>
  </si>
  <si>
    <t>E106</t>
  </si>
  <si>
    <t>Rohit 48</t>
  </si>
  <si>
    <t>E107</t>
  </si>
  <si>
    <t>Rahul 19</t>
  </si>
  <si>
    <t>E108</t>
  </si>
  <si>
    <t>Vikram 59</t>
  </si>
  <si>
    <t>E109</t>
  </si>
  <si>
    <t>Sneha 61</t>
  </si>
  <si>
    <t>E110</t>
  </si>
  <si>
    <t>E111</t>
  </si>
  <si>
    <t>Vikram 48</t>
  </si>
  <si>
    <t>E112</t>
  </si>
  <si>
    <t>Rahul 33</t>
  </si>
  <si>
    <t>E113</t>
  </si>
  <si>
    <t>Arjun 12</t>
  </si>
  <si>
    <t>E114</t>
  </si>
  <si>
    <t>Neha 42</t>
  </si>
  <si>
    <t>E115</t>
  </si>
  <si>
    <t>Rahul 66</t>
  </si>
  <si>
    <t>E116</t>
  </si>
  <si>
    <t>Vikram 78</t>
  </si>
  <si>
    <t>E117</t>
  </si>
  <si>
    <t>Priya 27</t>
  </si>
  <si>
    <t>E118</t>
  </si>
  <si>
    <t>Sneha 91</t>
  </si>
  <si>
    <t>E119</t>
  </si>
  <si>
    <t>Vikram 2</t>
  </si>
  <si>
    <t>E120</t>
  </si>
  <si>
    <t>Rohit 97</t>
  </si>
  <si>
    <t>E121</t>
  </si>
  <si>
    <t>Sneha 37</t>
  </si>
  <si>
    <t>E122</t>
  </si>
  <si>
    <t>Neha 63</t>
  </si>
  <si>
    <t>E123</t>
  </si>
  <si>
    <t>Arjun 57</t>
  </si>
  <si>
    <t>E124</t>
  </si>
  <si>
    <t>Anjali 75</t>
  </si>
  <si>
    <t>E125</t>
  </si>
  <si>
    <t>Sneha 96</t>
  </si>
  <si>
    <t>E126</t>
  </si>
  <si>
    <t>E127</t>
  </si>
  <si>
    <t>Pooja 35</t>
  </si>
  <si>
    <t>E128</t>
  </si>
  <si>
    <t>Priya 83</t>
  </si>
  <si>
    <t>E129</t>
  </si>
  <si>
    <t>Rohit 76</t>
  </si>
  <si>
    <t>E130</t>
  </si>
  <si>
    <t>Rohit 19</t>
  </si>
  <si>
    <t>E131</t>
  </si>
  <si>
    <t>Rahul 64</t>
  </si>
  <si>
    <t>E132</t>
  </si>
  <si>
    <t>Priya 70</t>
  </si>
  <si>
    <t>E133</t>
  </si>
  <si>
    <t>Amit 13</t>
  </si>
  <si>
    <t>E134</t>
  </si>
  <si>
    <t>Anjali 48</t>
  </si>
  <si>
    <t>E135</t>
  </si>
  <si>
    <t>Rahul 68</t>
  </si>
  <si>
    <t>E136</t>
  </si>
  <si>
    <t>Rahul 1</t>
  </si>
  <si>
    <t>E137</t>
  </si>
  <si>
    <t>Pooja 39</t>
  </si>
  <si>
    <t>E138</t>
  </si>
  <si>
    <t>Neha 68</t>
  </si>
  <si>
    <t>E139</t>
  </si>
  <si>
    <t>Arjun 71</t>
  </si>
  <si>
    <t>E140</t>
  </si>
  <si>
    <t>Rohit 12</t>
  </si>
  <si>
    <t>E141</t>
  </si>
  <si>
    <t>Vikram 12</t>
  </si>
  <si>
    <t>E142</t>
  </si>
  <si>
    <t>Rahul 92</t>
  </si>
  <si>
    <t>E143</t>
  </si>
  <si>
    <t>E144</t>
  </si>
  <si>
    <t>Pooja 85</t>
  </si>
  <si>
    <t>E145</t>
  </si>
  <si>
    <t>Sneha 13</t>
  </si>
  <si>
    <t>E146</t>
  </si>
  <si>
    <t>Rohit 70</t>
  </si>
  <si>
    <t>E147</t>
  </si>
  <si>
    <t>Rahul 9</t>
  </si>
  <si>
    <t>E148</t>
  </si>
  <si>
    <t>E149</t>
  </si>
  <si>
    <t>Amit 1</t>
  </si>
  <si>
    <t>E150</t>
  </si>
  <si>
    <t>Sneha 93</t>
  </si>
  <si>
    <t>E151</t>
  </si>
  <si>
    <t>E152</t>
  </si>
  <si>
    <t>E153</t>
  </si>
  <si>
    <t>Pooja 80</t>
  </si>
  <si>
    <t>E154</t>
  </si>
  <si>
    <t>E155</t>
  </si>
  <si>
    <t>Rohit 50</t>
  </si>
  <si>
    <t>E156</t>
  </si>
  <si>
    <t>Pooja 57</t>
  </si>
  <si>
    <t>E157</t>
  </si>
  <si>
    <t>Priya 60</t>
  </si>
  <si>
    <t>E158</t>
  </si>
  <si>
    <t>Sneha 8</t>
  </si>
  <si>
    <t>E159</t>
  </si>
  <si>
    <t>Pooja 59</t>
  </si>
  <si>
    <t>E160</t>
  </si>
  <si>
    <t>Vikram 34</t>
  </si>
  <si>
    <t>E161</t>
  </si>
  <si>
    <t>Arjun 5</t>
  </si>
  <si>
    <t>E162</t>
  </si>
  <si>
    <t>E163</t>
  </si>
  <si>
    <t>Sneha 78</t>
  </si>
  <si>
    <t>E164</t>
  </si>
  <si>
    <t>Sneha 27</t>
  </si>
  <si>
    <t>E165</t>
  </si>
  <si>
    <t>E166</t>
  </si>
  <si>
    <t>Rahul 80</t>
  </si>
  <si>
    <t>E167</t>
  </si>
  <si>
    <t>Priya 67</t>
  </si>
  <si>
    <t>E168</t>
  </si>
  <si>
    <t>Anjali 58</t>
  </si>
  <si>
    <t>E169</t>
  </si>
  <si>
    <t>Neha 82</t>
  </si>
  <si>
    <t>E170</t>
  </si>
  <si>
    <t>Amit 52</t>
  </si>
  <si>
    <t>E171</t>
  </si>
  <si>
    <t>Sneha 22</t>
  </si>
  <si>
    <t>E172</t>
  </si>
  <si>
    <t>Arjun 35</t>
  </si>
  <si>
    <t>E173</t>
  </si>
  <si>
    <t>Priya 47</t>
  </si>
  <si>
    <t>E174</t>
  </si>
  <si>
    <t>Rahul 70</t>
  </si>
  <si>
    <t>E175</t>
  </si>
  <si>
    <t>E176</t>
  </si>
  <si>
    <t>E177</t>
  </si>
  <si>
    <t>Anjali 12</t>
  </si>
  <si>
    <t>E178</t>
  </si>
  <si>
    <t>E179</t>
  </si>
  <si>
    <t>Amit 9</t>
  </si>
  <si>
    <t>E180</t>
  </si>
  <si>
    <t>Priya 57</t>
  </si>
  <si>
    <t>E181</t>
  </si>
  <si>
    <t>Sneha 40</t>
  </si>
  <si>
    <t>E182</t>
  </si>
  <si>
    <t>E183</t>
  </si>
  <si>
    <t>Vikram 16</t>
  </si>
  <si>
    <t>E184</t>
  </si>
  <si>
    <t>Vikram 46</t>
  </si>
  <si>
    <t>E185</t>
  </si>
  <si>
    <t>Rahul 95</t>
  </si>
  <si>
    <t>E186</t>
  </si>
  <si>
    <t>Rohit 22</t>
  </si>
  <si>
    <t>E187</t>
  </si>
  <si>
    <t>Rohit 7</t>
  </si>
  <si>
    <t>E188</t>
  </si>
  <si>
    <t>Pooja 64</t>
  </si>
  <si>
    <t>E189</t>
  </si>
  <si>
    <t>E190</t>
  </si>
  <si>
    <t>E191</t>
  </si>
  <si>
    <t>Anjali 90</t>
  </si>
  <si>
    <t>E192</t>
  </si>
  <si>
    <t>Rahul 12</t>
  </si>
  <si>
    <t>E193</t>
  </si>
  <si>
    <t>Neha 46</t>
  </si>
  <si>
    <t>E194</t>
  </si>
  <si>
    <t>E195</t>
  </si>
  <si>
    <t>Arjun 65</t>
  </si>
  <si>
    <t>E196</t>
  </si>
  <si>
    <t>Neha 61</t>
  </si>
  <si>
    <t>E197</t>
  </si>
  <si>
    <t>E198</t>
  </si>
  <si>
    <t>Pooja 88</t>
  </si>
  <si>
    <t>E199</t>
  </si>
  <si>
    <t>E200</t>
  </si>
  <si>
    <t>Arjun 81</t>
  </si>
  <si>
    <t>Year</t>
  </si>
  <si>
    <t>Month</t>
  </si>
  <si>
    <t>Month_Name</t>
  </si>
  <si>
    <t>Row Labels</t>
  </si>
  <si>
    <t>Grand Total</t>
  </si>
  <si>
    <t>Count of Employee_ID</t>
  </si>
  <si>
    <t>Count of Attrition</t>
  </si>
  <si>
    <t>Average of Salary</t>
  </si>
  <si>
    <t>Average of Attendance_%</t>
  </si>
  <si>
    <t>Average of Overtime_Hours</t>
  </si>
  <si>
    <t>Average of Performance_Rating</t>
  </si>
  <si>
    <t>2018</t>
  </si>
  <si>
    <t>2019</t>
  </si>
  <si>
    <t>2020</t>
  </si>
  <si>
    <t>2021</t>
  </si>
  <si>
    <t>2022</t>
  </si>
  <si>
    <t>2023</t>
  </si>
  <si>
    <t>2024</t>
  </si>
  <si>
    <t>Salary_Band</t>
  </si>
  <si>
    <t>High</t>
  </si>
  <si>
    <t>Low</t>
  </si>
  <si>
    <t>Medium</t>
  </si>
  <si>
    <t>Sum of Attendance_%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</si>
</sst>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0" fillId="0" borderId="0" xfId="0" applyAlignment="1">
      <alignment horizontal="left" indent="1"/>
    </xf>
    <xf numFmtId="164"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19" formatCode="dd/mm/yyyy"/>
    </dxf>
    <dxf>
      <numFmt numFmtId="19" formatCode="dd/mm/yyyy"/>
    </dxf>
    <dxf>
      <numFmt numFmtId="2" formatCode="0.00"/>
    </dxf>
    <dxf>
      <numFmt numFmtId="2" formatCode="0.00"/>
    </dxf>
    <dxf>
      <numFmt numFmtId="164" formatCode="&quot;₹&quot;\ #,##0"/>
    </dxf>
    <dxf>
      <numFmt numFmtId="2" formatCode="0.00"/>
    </dxf>
  </dxfs>
  <tableStyles count="0" defaultTableStyle="TableStyleMedium9" defaultPivotStyle="PivotStyleLight16"/>
  <colors>
    <mruColors>
      <color rgb="FFF2F2F2"/>
      <color rgb="FF5B7DB1"/>
      <color rgb="FF2E3A4D"/>
      <color rgb="FFFFFFFF"/>
      <color rgb="FFEEF2F6"/>
      <color rgb="FF4E8098"/>
      <color rgb="FFF4F6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[HR_Analytics_Project_Dataset.xlsx]Sheet2!PivotTable8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t>Hiring Trend by Year</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5B7DB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Sheet2!$B$22</c:f>
              <c:strCache>
                <c:ptCount val="1"/>
                <c:pt idx="0">
                  <c:v>Total</c:v>
                </c:pt>
              </c:strCache>
            </c:strRef>
          </c:tx>
          <c:spPr>
            <a:ln w="28575" cap="rnd">
              <a:solidFill>
                <a:srgbClr val="5B7DB1"/>
              </a:solidFill>
              <a:round/>
            </a:ln>
            <a:effectLst/>
          </c:spPr>
          <c:marker>
            <c:symbol val="circle"/>
            <c:size val="5"/>
            <c:spPr>
              <a:solidFill>
                <a:schemeClr val="accent1"/>
              </a:solidFill>
              <a:ln w="9525">
                <a:solidFill>
                  <a:schemeClr val="accent1"/>
                </a:solidFill>
              </a:ln>
              <a:effectLst/>
            </c:spPr>
          </c:marker>
          <c:cat>
            <c:strRef>
              <c:f>Sheet2!$A$23:$A$30</c:f>
              <c:strCache>
                <c:ptCount val="7"/>
                <c:pt idx="0">
                  <c:v>2018</c:v>
                </c:pt>
                <c:pt idx="1">
                  <c:v>2019</c:v>
                </c:pt>
                <c:pt idx="2">
                  <c:v>2020</c:v>
                </c:pt>
                <c:pt idx="3">
                  <c:v>2021</c:v>
                </c:pt>
                <c:pt idx="4">
                  <c:v>2022</c:v>
                </c:pt>
                <c:pt idx="5">
                  <c:v>2023</c:v>
                </c:pt>
                <c:pt idx="6">
                  <c:v>2024</c:v>
                </c:pt>
              </c:strCache>
            </c:strRef>
          </c:cat>
          <c:val>
            <c:numRef>
              <c:f>Sheet2!$B$23:$B$30</c:f>
              <c:numCache>
                <c:formatCode>General</c:formatCode>
                <c:ptCount val="7"/>
                <c:pt idx="0">
                  <c:v>26</c:v>
                </c:pt>
                <c:pt idx="1">
                  <c:v>28</c:v>
                </c:pt>
                <c:pt idx="2">
                  <c:v>31</c:v>
                </c:pt>
                <c:pt idx="3">
                  <c:v>27</c:v>
                </c:pt>
                <c:pt idx="4">
                  <c:v>31</c:v>
                </c:pt>
                <c:pt idx="5">
                  <c:v>30</c:v>
                </c:pt>
                <c:pt idx="6">
                  <c:v>27</c:v>
                </c:pt>
              </c:numCache>
            </c:numRef>
          </c:val>
          <c:smooth val="0"/>
          <c:extLst>
            <c:ext xmlns:c16="http://schemas.microsoft.com/office/drawing/2014/chart" uri="{C3380CC4-5D6E-409C-BE32-E72D297353CC}">
              <c16:uniqueId val="{00000000-BF33-4B5F-9D1A-E422D832FFD8}"/>
            </c:ext>
          </c:extLst>
        </c:ser>
        <c:dLbls>
          <c:showLegendKey val="0"/>
          <c:showVal val="0"/>
          <c:showCatName val="0"/>
          <c:showSerName val="0"/>
          <c:showPercent val="0"/>
          <c:showBubbleSize val="0"/>
        </c:dLbls>
        <c:marker val="1"/>
        <c:smooth val="0"/>
        <c:axId val="682475320"/>
        <c:axId val="682469920"/>
      </c:lineChart>
      <c:catAx>
        <c:axId val="682475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69920"/>
        <c:crosses val="autoZero"/>
        <c:auto val="1"/>
        <c:lblAlgn val="ctr"/>
        <c:lblOffset val="100"/>
        <c:noMultiLvlLbl val="0"/>
      </c:catAx>
      <c:valAx>
        <c:axId val="682469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75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[HR_Analytics_Project_Dataset.xlsx]Sheet2!PivotTable2</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t>Attrition Distribution</a:t>
            </a:r>
            <a:endParaRPr lang="en-US" sz="1200"/>
          </a:p>
        </c:rich>
      </c:tx>
      <c:layout>
        <c:manualLayout>
          <c:xMode val="edge"/>
          <c:yMode val="edge"/>
          <c:x val="0.12963307086614173"/>
          <c:y val="5.538129618599764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rgbClr val="C00000"/>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Sheet2!$B$7</c:f>
              <c:strCache>
                <c:ptCount val="1"/>
                <c:pt idx="0">
                  <c:v>Count of Employee_ID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4F-4136-A878-0FF930EEB0E3}"/>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E14F-4136-A878-0FF930EEB0E3}"/>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Sheet2!$A$8:$A$10</c:f>
              <c:strCache>
                <c:ptCount val="2"/>
                <c:pt idx="0">
                  <c:v>No</c:v>
                </c:pt>
                <c:pt idx="1">
                  <c:v>Yes</c:v>
                </c:pt>
              </c:strCache>
            </c:strRef>
          </c:cat>
          <c:val>
            <c:numRef>
              <c:f>Sheet2!$B$8:$B$10</c:f>
              <c:numCache>
                <c:formatCode>General</c:formatCode>
                <c:ptCount val="2"/>
                <c:pt idx="0">
                  <c:v>106</c:v>
                </c:pt>
                <c:pt idx="1">
                  <c:v>94</c:v>
                </c:pt>
              </c:numCache>
            </c:numRef>
          </c:val>
          <c:extLst>
            <c:ext xmlns:c16="http://schemas.microsoft.com/office/drawing/2014/chart" uri="{C3380CC4-5D6E-409C-BE32-E72D297353CC}">
              <c16:uniqueId val="{00000004-E14F-4136-A878-0FF930EEB0E3}"/>
            </c:ext>
          </c:extLst>
        </c:ser>
        <c:ser>
          <c:idx val="1"/>
          <c:order val="1"/>
          <c:tx>
            <c:strRef>
              <c:f>Sheet2!$C$7</c:f>
              <c:strCache>
                <c:ptCount val="1"/>
                <c:pt idx="0">
                  <c:v>Count of Attrition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14F-4136-A878-0FF930EEB0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14F-4136-A878-0FF930EEB0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Sheet2!$A$8:$A$10</c:f>
              <c:strCache>
                <c:ptCount val="2"/>
                <c:pt idx="0">
                  <c:v>No</c:v>
                </c:pt>
                <c:pt idx="1">
                  <c:v>Yes</c:v>
                </c:pt>
              </c:strCache>
            </c:strRef>
          </c:cat>
          <c:val>
            <c:numRef>
              <c:f>Sheet2!$C$8:$C$10</c:f>
              <c:numCache>
                <c:formatCode>0.00%</c:formatCode>
                <c:ptCount val="2"/>
                <c:pt idx="0">
                  <c:v>0.53</c:v>
                </c:pt>
                <c:pt idx="1">
                  <c:v>0.47</c:v>
                </c:pt>
              </c:numCache>
            </c:numRef>
          </c:val>
          <c:extLst>
            <c:ext xmlns:c16="http://schemas.microsoft.com/office/drawing/2014/chart" uri="{C3380CC4-5D6E-409C-BE32-E72D297353CC}">
              <c16:uniqueId val="{00000009-E14F-4136-A878-0FF930EEB0E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[HR_Analytics_Project_Dataset.xlsx]Sheet2!PivotTable3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latin typeface="Times New Roman" panose="02020603050405020304" pitchFamily="18" charset="0"/>
                <a:cs typeface="Times New Roman" panose="02020603050405020304" pitchFamily="18" charset="0"/>
              </a:rPr>
              <a:t>Average Salary by Department</a:t>
            </a:r>
            <a:endParaRPr lang="en-US" sz="12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Sheet2!$G$3</c:f>
              <c:strCache>
                <c:ptCount val="1"/>
                <c:pt idx="0">
                  <c:v>Total</c:v>
                </c:pt>
              </c:strCache>
            </c:strRef>
          </c:tx>
          <c:spPr>
            <a:solidFill>
              <a:schemeClr val="accent1"/>
            </a:solidFill>
            <a:ln>
              <a:noFill/>
            </a:ln>
            <a:effectLst/>
          </c:spPr>
          <c:invertIfNegative val="0"/>
          <c:cat>
            <c:strRef>
              <c:f>Sheet2!$F$4:$F$9</c:f>
              <c:strCache>
                <c:ptCount val="5"/>
                <c:pt idx="0">
                  <c:v>Finance</c:v>
                </c:pt>
                <c:pt idx="1">
                  <c:v>HR</c:v>
                </c:pt>
                <c:pt idx="2">
                  <c:v>IT</c:v>
                </c:pt>
                <c:pt idx="3">
                  <c:v>Marketing</c:v>
                </c:pt>
                <c:pt idx="4">
                  <c:v>Sales</c:v>
                </c:pt>
              </c:strCache>
            </c:strRef>
          </c:cat>
          <c:val>
            <c:numRef>
              <c:f>Sheet2!$G$4:$G$9</c:f>
              <c:numCache>
                <c:formatCode>0.00</c:formatCode>
                <c:ptCount val="5"/>
                <c:pt idx="0">
                  <c:v>73782.527777777781</c:v>
                </c:pt>
                <c:pt idx="1">
                  <c:v>72282.5945945946</c:v>
                </c:pt>
                <c:pt idx="2">
                  <c:v>72520.333333333328</c:v>
                </c:pt>
                <c:pt idx="3">
                  <c:v>81002.363636363632</c:v>
                </c:pt>
                <c:pt idx="4">
                  <c:v>80351.390243902439</c:v>
                </c:pt>
              </c:numCache>
            </c:numRef>
          </c:val>
          <c:extLst>
            <c:ext xmlns:c16="http://schemas.microsoft.com/office/drawing/2014/chart" uri="{C3380CC4-5D6E-409C-BE32-E72D297353CC}">
              <c16:uniqueId val="{00000000-192E-4D92-81A7-C38095933A7D}"/>
            </c:ext>
          </c:extLst>
        </c:ser>
        <c:dLbls>
          <c:showLegendKey val="0"/>
          <c:showVal val="0"/>
          <c:showCatName val="0"/>
          <c:showSerName val="0"/>
          <c:showPercent val="0"/>
          <c:showBubbleSize val="0"/>
        </c:dLbls>
        <c:gapWidth val="90"/>
        <c:overlap val="-27"/>
        <c:axId val="362334848"/>
        <c:axId val="362333768"/>
      </c:barChart>
      <c:catAx>
        <c:axId val="36233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2333768"/>
        <c:crosses val="autoZero"/>
        <c:auto val="1"/>
        <c:lblAlgn val="ctr"/>
        <c:lblOffset val="100"/>
        <c:noMultiLvlLbl val="0"/>
      </c:catAx>
      <c:valAx>
        <c:axId val="3623337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33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[HR_Analytics_Project_Dataset.xlsx]Sheet2!PivotTable4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latin typeface="Times New Roman" panose="02020603050405020304" pitchFamily="18" charset="0"/>
                <a:cs typeface="Times New Roman" panose="02020603050405020304" pitchFamily="18" charset="0"/>
              </a:rPr>
              <a:t>Performance Rating Count</a:t>
            </a:r>
            <a:endParaRPr lang="en-US" sz="12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Sheet2!$I$4:$I$9</c:f>
              <c:strCache>
                <c:ptCount val="5"/>
                <c:pt idx="0">
                  <c:v>1</c:v>
                </c:pt>
                <c:pt idx="1">
                  <c:v>2</c:v>
                </c:pt>
                <c:pt idx="2">
                  <c:v>3</c:v>
                </c:pt>
                <c:pt idx="3">
                  <c:v>4</c:v>
                </c:pt>
                <c:pt idx="4">
                  <c:v>5</c:v>
                </c:pt>
              </c:strCache>
            </c:strRef>
          </c:cat>
          <c:val>
            <c:numRef>
              <c:f>Sheet2!$J$4:$J$9</c:f>
              <c:numCache>
                <c:formatCode>General</c:formatCode>
                <c:ptCount val="5"/>
                <c:pt idx="0">
                  <c:v>48</c:v>
                </c:pt>
                <c:pt idx="1">
                  <c:v>38</c:v>
                </c:pt>
                <c:pt idx="2">
                  <c:v>41</c:v>
                </c:pt>
                <c:pt idx="3">
                  <c:v>37</c:v>
                </c:pt>
                <c:pt idx="4">
                  <c:v>36</c:v>
                </c:pt>
              </c:numCache>
            </c:numRef>
          </c:val>
          <c:extLst>
            <c:ext xmlns:c16="http://schemas.microsoft.com/office/drawing/2014/chart" uri="{C3380CC4-5D6E-409C-BE32-E72D297353CC}">
              <c16:uniqueId val="{00000000-D9E2-4422-9864-B5E5D24EC6C7}"/>
            </c:ext>
          </c:extLst>
        </c:ser>
        <c:dLbls>
          <c:dLblPos val="outEnd"/>
          <c:showLegendKey val="0"/>
          <c:showVal val="1"/>
          <c:showCatName val="0"/>
          <c:showSerName val="0"/>
          <c:showPercent val="0"/>
          <c:showBubbleSize val="0"/>
        </c:dLbls>
        <c:gapWidth val="90"/>
        <c:overlap val="-26"/>
        <c:axId val="693165720"/>
        <c:axId val="693166440"/>
      </c:barChart>
      <c:catAx>
        <c:axId val="693165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166440"/>
        <c:crosses val="autoZero"/>
        <c:auto val="1"/>
        <c:lblAlgn val="ctr"/>
        <c:lblOffset val="100"/>
        <c:noMultiLvlLbl val="0"/>
      </c:catAx>
      <c:valAx>
        <c:axId val="693166440"/>
        <c:scaling>
          <c:orientation val="minMax"/>
        </c:scaling>
        <c:delete val="1"/>
        <c:axPos val="l"/>
        <c:numFmt formatCode="General" sourceLinked="1"/>
        <c:majorTickMark val="none"/>
        <c:minorTickMark val="none"/>
        <c:tickLblPos val="nextTo"/>
        <c:crossAx val="693165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[HR_Analytics_Project_Dataset.xlsx]Sheet2!PivotTable7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latin typeface="Times New Roman" panose="02020603050405020304" pitchFamily="18" charset="0"/>
                <a:cs typeface="Times New Roman" panose="02020603050405020304" pitchFamily="18" charset="0"/>
              </a:rPr>
              <a:t>Attrition by Region</a:t>
            </a:r>
            <a:endParaRPr lang="en-US" sz="12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Sheet2!$J$14:$J$26</c:f>
              <c:multiLvlStrCache>
                <c:ptCount val="8"/>
                <c:lvl>
                  <c:pt idx="0">
                    <c:v>No</c:v>
                  </c:pt>
                  <c:pt idx="1">
                    <c:v>Yes</c:v>
                  </c:pt>
                  <c:pt idx="2">
                    <c:v>No</c:v>
                  </c:pt>
                  <c:pt idx="3">
                    <c:v>Yes</c:v>
                  </c:pt>
                  <c:pt idx="4">
                    <c:v>No</c:v>
                  </c:pt>
                  <c:pt idx="5">
                    <c:v>Yes</c:v>
                  </c:pt>
                  <c:pt idx="6">
                    <c:v>No</c:v>
                  </c:pt>
                  <c:pt idx="7">
                    <c:v>Yes</c:v>
                  </c:pt>
                </c:lvl>
                <c:lvl>
                  <c:pt idx="0">
                    <c:v>East</c:v>
                  </c:pt>
                  <c:pt idx="2">
                    <c:v>North</c:v>
                  </c:pt>
                  <c:pt idx="4">
                    <c:v>South</c:v>
                  </c:pt>
                  <c:pt idx="6">
                    <c:v>West</c:v>
                  </c:pt>
                </c:lvl>
              </c:multiLvlStrCache>
            </c:multiLvlStrRef>
          </c:cat>
          <c:val>
            <c:numRef>
              <c:f>Sheet2!$K$14:$K$26</c:f>
              <c:numCache>
                <c:formatCode>General</c:formatCode>
                <c:ptCount val="8"/>
                <c:pt idx="0">
                  <c:v>29</c:v>
                </c:pt>
                <c:pt idx="1">
                  <c:v>24</c:v>
                </c:pt>
                <c:pt idx="2">
                  <c:v>33</c:v>
                </c:pt>
                <c:pt idx="3">
                  <c:v>29</c:v>
                </c:pt>
                <c:pt idx="4">
                  <c:v>23</c:v>
                </c:pt>
                <c:pt idx="5">
                  <c:v>22</c:v>
                </c:pt>
                <c:pt idx="6">
                  <c:v>21</c:v>
                </c:pt>
                <c:pt idx="7">
                  <c:v>19</c:v>
                </c:pt>
              </c:numCache>
            </c:numRef>
          </c:val>
          <c:extLst>
            <c:ext xmlns:c16="http://schemas.microsoft.com/office/drawing/2014/chart" uri="{C3380CC4-5D6E-409C-BE32-E72D297353CC}">
              <c16:uniqueId val="{00000000-28CF-4F84-850D-C49E10885042}"/>
            </c:ext>
          </c:extLst>
        </c:ser>
        <c:dLbls>
          <c:dLblPos val="outEnd"/>
          <c:showLegendKey val="0"/>
          <c:showVal val="1"/>
          <c:showCatName val="0"/>
          <c:showSerName val="0"/>
          <c:showPercent val="0"/>
          <c:showBubbleSize val="0"/>
        </c:dLbls>
        <c:gapWidth val="90"/>
        <c:overlap val="-27"/>
        <c:axId val="723323176"/>
        <c:axId val="633069720"/>
      </c:barChart>
      <c:catAx>
        <c:axId val="723323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069720"/>
        <c:crosses val="autoZero"/>
        <c:auto val="1"/>
        <c:lblAlgn val="ctr"/>
        <c:lblOffset val="100"/>
        <c:noMultiLvlLbl val="0"/>
      </c:catAx>
      <c:valAx>
        <c:axId val="633069720"/>
        <c:scaling>
          <c:orientation val="minMax"/>
        </c:scaling>
        <c:delete val="1"/>
        <c:axPos val="l"/>
        <c:numFmt formatCode="General" sourceLinked="1"/>
        <c:majorTickMark val="none"/>
        <c:minorTickMark val="none"/>
        <c:tickLblPos val="nextTo"/>
        <c:crossAx val="723323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451518</xdr:colOff>
      <xdr:row>2</xdr:row>
      <xdr:rowOff>75530</xdr:rowOff>
    </xdr:from>
    <xdr:to>
      <xdr:col>20</xdr:col>
      <xdr:colOff>186267</xdr:colOff>
      <xdr:row>30</xdr:row>
      <xdr:rowOff>23244</xdr:rowOff>
    </xdr:to>
    <xdr:sp macro="" textlink="">
      <xdr:nvSpPr>
        <xdr:cNvPr id="3" name="Rectangle 2">
          <a:extLst>
            <a:ext uri="{FF2B5EF4-FFF2-40B4-BE49-F238E27FC236}">
              <a16:creationId xmlns:a16="http://schemas.microsoft.com/office/drawing/2014/main" id="{EC0E0604-4D93-4052-4BAA-1664EDCF528A}"/>
            </a:ext>
          </a:extLst>
        </xdr:cNvPr>
        <xdr:cNvSpPr/>
      </xdr:nvSpPr>
      <xdr:spPr>
        <a:xfrm>
          <a:off x="2889918" y="448063"/>
          <a:ext cx="9488349" cy="5163181"/>
        </a:xfrm>
        <a:prstGeom prst="rect">
          <a:avLst/>
        </a:prstGeom>
        <a:solidFill>
          <a:srgbClr val="EEF2F6"/>
        </a:solidFill>
        <a:ln w="1270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584867</xdr:colOff>
      <xdr:row>2</xdr:row>
      <xdr:rowOff>164431</xdr:rowOff>
    </xdr:from>
    <xdr:to>
      <xdr:col>20</xdr:col>
      <xdr:colOff>76200</xdr:colOff>
      <xdr:row>4</xdr:row>
      <xdr:rowOff>142039</xdr:rowOff>
    </xdr:to>
    <xdr:sp macro="" textlink="">
      <xdr:nvSpPr>
        <xdr:cNvPr id="4" name="Rectangle: Rounded Corners 3">
          <a:extLst>
            <a:ext uri="{FF2B5EF4-FFF2-40B4-BE49-F238E27FC236}">
              <a16:creationId xmlns:a16="http://schemas.microsoft.com/office/drawing/2014/main" id="{0202FC46-0994-686C-F75C-D1D9D4E79665}"/>
            </a:ext>
          </a:extLst>
        </xdr:cNvPr>
        <xdr:cNvSpPr/>
      </xdr:nvSpPr>
      <xdr:spPr>
        <a:xfrm>
          <a:off x="3023267" y="536964"/>
          <a:ext cx="9244933" cy="350142"/>
        </a:xfrm>
        <a:prstGeom prst="roundRect">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tx1"/>
              </a:solidFill>
              <a:latin typeface="Times New Roman" panose="02020603050405020304" pitchFamily="18" charset="0"/>
              <a:cs typeface="Times New Roman" panose="02020603050405020304" pitchFamily="18" charset="0"/>
            </a:rPr>
            <a:t>HR Analytics Dashboard</a:t>
          </a:r>
        </a:p>
      </xdr:txBody>
    </xdr:sp>
    <xdr:clientData/>
  </xdr:twoCellAnchor>
  <xdr:twoCellAnchor>
    <xdr:from>
      <xdr:col>4</xdr:col>
      <xdr:colOff>557464</xdr:colOff>
      <xdr:row>5</xdr:row>
      <xdr:rowOff>25067</xdr:rowOff>
    </xdr:from>
    <xdr:to>
      <xdr:col>7</xdr:col>
      <xdr:colOff>76708</xdr:colOff>
      <xdr:row>29</xdr:row>
      <xdr:rowOff>67734</xdr:rowOff>
    </xdr:to>
    <xdr:sp macro="" textlink="">
      <xdr:nvSpPr>
        <xdr:cNvPr id="6" name="Rectangle 5">
          <a:extLst>
            <a:ext uri="{FF2B5EF4-FFF2-40B4-BE49-F238E27FC236}">
              <a16:creationId xmlns:a16="http://schemas.microsoft.com/office/drawing/2014/main" id="{495B0DF6-C089-9255-FD5F-F42CB1CD724C}"/>
            </a:ext>
          </a:extLst>
        </xdr:cNvPr>
        <xdr:cNvSpPr/>
      </xdr:nvSpPr>
      <xdr:spPr>
        <a:xfrm>
          <a:off x="2995864" y="956400"/>
          <a:ext cx="1348044" cy="4513067"/>
        </a:xfrm>
        <a:prstGeom prst="rect">
          <a:avLst/>
        </a:prstGeom>
        <a:solidFill>
          <a:srgbClr val="FFFFFF"/>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600" b="0" i="0" u="none" strike="noStrike">
            <a:solidFill>
              <a:srgbClr val="2E3A4D"/>
            </a:solidFill>
            <a:latin typeface="Calibri"/>
            <a:ea typeface="Calibri"/>
            <a:cs typeface="Calibri"/>
          </a:endParaRPr>
        </a:p>
      </xdr:txBody>
    </xdr:sp>
    <xdr:clientData/>
  </xdr:twoCellAnchor>
  <xdr:twoCellAnchor>
    <xdr:from>
      <xdr:col>7</xdr:col>
      <xdr:colOff>158417</xdr:colOff>
      <xdr:row>5</xdr:row>
      <xdr:rowOff>43782</xdr:rowOff>
    </xdr:from>
    <xdr:to>
      <xdr:col>9</xdr:col>
      <xdr:colOff>287594</xdr:colOff>
      <xdr:row>9</xdr:row>
      <xdr:rowOff>16711</xdr:rowOff>
    </xdr:to>
    <xdr:sp macro="" textlink="Sheet2!A2">
      <xdr:nvSpPr>
        <xdr:cNvPr id="2" name="Rectangle 1">
          <a:extLst>
            <a:ext uri="{FF2B5EF4-FFF2-40B4-BE49-F238E27FC236}">
              <a16:creationId xmlns:a16="http://schemas.microsoft.com/office/drawing/2014/main" id="{B57EFABF-F29B-4BFF-B6C6-1F09B5EC14D0}"/>
            </a:ext>
          </a:extLst>
        </xdr:cNvPr>
        <xdr:cNvSpPr/>
      </xdr:nvSpPr>
      <xdr:spPr>
        <a:xfrm>
          <a:off x="4427956" y="962861"/>
          <a:ext cx="1349046" cy="708192"/>
        </a:xfrm>
        <a:prstGeom prst="rect">
          <a:avLst/>
        </a:prstGeom>
        <a:solidFill>
          <a:srgbClr val="FFFFFF"/>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600">
            <a:solidFill>
              <a:srgbClr val="2E3A4D"/>
            </a:solidFill>
            <a:latin typeface="+mn-lt"/>
            <a:ea typeface="+mn-ea"/>
            <a:cs typeface="+mn-cs"/>
          </a:endParaRPr>
        </a:p>
      </xdr:txBody>
    </xdr:sp>
    <xdr:clientData/>
  </xdr:twoCellAnchor>
  <xdr:twoCellAnchor>
    <xdr:from>
      <xdr:col>9</xdr:col>
      <xdr:colOff>558884</xdr:colOff>
      <xdr:row>5</xdr:row>
      <xdr:rowOff>43782</xdr:rowOff>
    </xdr:from>
    <xdr:to>
      <xdr:col>12</xdr:col>
      <xdr:colOff>78127</xdr:colOff>
      <xdr:row>9</xdr:row>
      <xdr:rowOff>16711</xdr:rowOff>
    </xdr:to>
    <xdr:sp macro="" textlink="">
      <xdr:nvSpPr>
        <xdr:cNvPr id="5" name="Rectangle 4">
          <a:extLst>
            <a:ext uri="{FF2B5EF4-FFF2-40B4-BE49-F238E27FC236}">
              <a16:creationId xmlns:a16="http://schemas.microsoft.com/office/drawing/2014/main" id="{0285661C-059C-4A1F-A834-6052FF33F36B}"/>
            </a:ext>
          </a:extLst>
        </xdr:cNvPr>
        <xdr:cNvSpPr/>
      </xdr:nvSpPr>
      <xdr:spPr>
        <a:xfrm>
          <a:off x="6048292" y="962861"/>
          <a:ext cx="1349046" cy="708192"/>
        </a:xfrm>
        <a:prstGeom prst="rect">
          <a:avLst/>
        </a:prstGeom>
        <a:solidFill>
          <a:srgbClr val="FFFFFF"/>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600" b="0" i="0" u="none" strike="noStrike">
            <a:solidFill>
              <a:srgbClr val="2E3A4D"/>
            </a:solidFill>
            <a:latin typeface="Calibri"/>
            <a:ea typeface="Calibri"/>
            <a:cs typeface="Calibri"/>
          </a:endParaRPr>
        </a:p>
      </xdr:txBody>
    </xdr:sp>
    <xdr:clientData/>
  </xdr:twoCellAnchor>
  <xdr:twoCellAnchor>
    <xdr:from>
      <xdr:col>15</xdr:col>
      <xdr:colOff>139951</xdr:colOff>
      <xdr:row>5</xdr:row>
      <xdr:rowOff>43782</xdr:rowOff>
    </xdr:from>
    <xdr:to>
      <xdr:col>17</xdr:col>
      <xdr:colOff>269128</xdr:colOff>
      <xdr:row>9</xdr:row>
      <xdr:rowOff>16711</xdr:rowOff>
    </xdr:to>
    <xdr:sp macro="" textlink="">
      <xdr:nvSpPr>
        <xdr:cNvPr id="7" name="Rectangle 6">
          <a:extLst>
            <a:ext uri="{FF2B5EF4-FFF2-40B4-BE49-F238E27FC236}">
              <a16:creationId xmlns:a16="http://schemas.microsoft.com/office/drawing/2014/main" id="{06016F37-A61E-4BA0-A21F-1DF400849AAC}"/>
            </a:ext>
          </a:extLst>
        </xdr:cNvPr>
        <xdr:cNvSpPr/>
      </xdr:nvSpPr>
      <xdr:spPr>
        <a:xfrm>
          <a:off x="9288964" y="962861"/>
          <a:ext cx="1349046" cy="708192"/>
        </a:xfrm>
        <a:prstGeom prst="rect">
          <a:avLst/>
        </a:prstGeom>
        <a:solidFill>
          <a:srgbClr val="FFFFFF"/>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600" b="0" i="0" u="none" strike="noStrike">
            <a:solidFill>
              <a:srgbClr val="000000"/>
            </a:solidFill>
            <a:latin typeface="Calibri"/>
            <a:ea typeface="Calibri"/>
            <a:cs typeface="Calibri"/>
          </a:endParaRPr>
        </a:p>
      </xdr:txBody>
    </xdr:sp>
    <xdr:clientData/>
  </xdr:twoCellAnchor>
  <xdr:twoCellAnchor>
    <xdr:from>
      <xdr:col>17</xdr:col>
      <xdr:colOff>540418</xdr:colOff>
      <xdr:row>5</xdr:row>
      <xdr:rowOff>43782</xdr:rowOff>
    </xdr:from>
    <xdr:to>
      <xdr:col>20</xdr:col>
      <xdr:colOff>59662</xdr:colOff>
      <xdr:row>9</xdr:row>
      <xdr:rowOff>16711</xdr:rowOff>
    </xdr:to>
    <xdr:sp macro="" textlink="">
      <xdr:nvSpPr>
        <xdr:cNvPr id="8" name="Rectangle 7">
          <a:extLst>
            <a:ext uri="{FF2B5EF4-FFF2-40B4-BE49-F238E27FC236}">
              <a16:creationId xmlns:a16="http://schemas.microsoft.com/office/drawing/2014/main" id="{7958FBAF-D8BE-43E3-B739-1099DB5AFAA2}"/>
            </a:ext>
          </a:extLst>
        </xdr:cNvPr>
        <xdr:cNvSpPr/>
      </xdr:nvSpPr>
      <xdr:spPr>
        <a:xfrm>
          <a:off x="10954418" y="977606"/>
          <a:ext cx="1357009" cy="719987"/>
        </a:xfrm>
        <a:prstGeom prst="rect">
          <a:avLst/>
        </a:prstGeom>
        <a:solidFill>
          <a:srgbClr val="FFFFFF"/>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600" b="0" i="0" u="none" strike="noStrike">
            <a:solidFill>
              <a:srgbClr val="000000"/>
            </a:solidFill>
            <a:latin typeface="Calibri"/>
            <a:ea typeface="Calibri"/>
            <a:cs typeface="Calibri"/>
          </a:endParaRPr>
        </a:p>
      </xdr:txBody>
    </xdr:sp>
    <xdr:clientData/>
  </xdr:twoCellAnchor>
  <xdr:twoCellAnchor>
    <xdr:from>
      <xdr:col>12</xdr:col>
      <xdr:colOff>349417</xdr:colOff>
      <xdr:row>5</xdr:row>
      <xdr:rowOff>43782</xdr:rowOff>
    </xdr:from>
    <xdr:to>
      <xdr:col>14</xdr:col>
      <xdr:colOff>478595</xdr:colOff>
      <xdr:row>9</xdr:row>
      <xdr:rowOff>16711</xdr:rowOff>
    </xdr:to>
    <xdr:sp macro="" textlink="">
      <xdr:nvSpPr>
        <xdr:cNvPr id="9" name="Rectangle 8">
          <a:extLst>
            <a:ext uri="{FF2B5EF4-FFF2-40B4-BE49-F238E27FC236}">
              <a16:creationId xmlns:a16="http://schemas.microsoft.com/office/drawing/2014/main" id="{8821A2D5-C6BB-4665-BF6E-7885C3ACBF62}"/>
            </a:ext>
          </a:extLst>
        </xdr:cNvPr>
        <xdr:cNvSpPr/>
      </xdr:nvSpPr>
      <xdr:spPr>
        <a:xfrm>
          <a:off x="7668628" y="962861"/>
          <a:ext cx="1349046" cy="708192"/>
        </a:xfrm>
        <a:prstGeom prst="rect">
          <a:avLst/>
        </a:prstGeom>
        <a:solidFill>
          <a:srgbClr val="FFFFFF"/>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600" b="0" i="0" u="none" strike="noStrike">
            <a:solidFill>
              <a:srgbClr val="000000"/>
            </a:solidFill>
            <a:latin typeface="Calibri"/>
            <a:ea typeface="Calibri"/>
            <a:cs typeface="Calibri"/>
          </a:endParaRPr>
        </a:p>
      </xdr:txBody>
    </xdr:sp>
    <xdr:clientData/>
  </xdr:twoCellAnchor>
  <xdr:twoCellAnchor>
    <xdr:from>
      <xdr:col>7</xdr:col>
      <xdr:colOff>143712</xdr:colOff>
      <xdr:row>9</xdr:row>
      <xdr:rowOff>120985</xdr:rowOff>
    </xdr:from>
    <xdr:to>
      <xdr:col>12</xdr:col>
      <xdr:colOff>150394</xdr:colOff>
      <xdr:row>19</xdr:row>
      <xdr:rowOff>53338</xdr:rowOff>
    </xdr:to>
    <xdr:sp macro="" textlink="">
      <xdr:nvSpPr>
        <xdr:cNvPr id="13" name="Rectangle 12">
          <a:extLst>
            <a:ext uri="{FF2B5EF4-FFF2-40B4-BE49-F238E27FC236}">
              <a16:creationId xmlns:a16="http://schemas.microsoft.com/office/drawing/2014/main" id="{B3361A21-44AD-4932-87C3-E5592BD489ED}"/>
            </a:ext>
          </a:extLst>
        </xdr:cNvPr>
        <xdr:cNvSpPr/>
      </xdr:nvSpPr>
      <xdr:spPr>
        <a:xfrm>
          <a:off x="4410912" y="1797385"/>
          <a:ext cx="3054682" cy="1795020"/>
        </a:xfrm>
        <a:prstGeom prst="rect">
          <a:avLst/>
        </a:prstGeom>
        <a:solidFill>
          <a:srgbClr val="FFFFFF"/>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600" b="0" i="0" u="none" strike="noStrike">
            <a:solidFill>
              <a:srgbClr val="2E3A4D"/>
            </a:solidFill>
            <a:latin typeface="Calibri"/>
            <a:ea typeface="Calibri"/>
            <a:cs typeface="Calibri"/>
          </a:endParaRPr>
        </a:p>
      </xdr:txBody>
    </xdr:sp>
    <xdr:clientData/>
  </xdr:twoCellAnchor>
  <xdr:twoCellAnchor>
    <xdr:from>
      <xdr:col>7</xdr:col>
      <xdr:colOff>148372</xdr:colOff>
      <xdr:row>19</xdr:row>
      <xdr:rowOff>134471</xdr:rowOff>
    </xdr:from>
    <xdr:to>
      <xdr:col>12</xdr:col>
      <xdr:colOff>155054</xdr:colOff>
      <xdr:row>29</xdr:row>
      <xdr:rowOff>66824</xdr:rowOff>
    </xdr:to>
    <xdr:sp macro="" textlink="">
      <xdr:nvSpPr>
        <xdr:cNvPr id="15" name="Rectangle 14">
          <a:extLst>
            <a:ext uri="{FF2B5EF4-FFF2-40B4-BE49-F238E27FC236}">
              <a16:creationId xmlns:a16="http://schemas.microsoft.com/office/drawing/2014/main" id="{E853CD1B-B8C9-4EFB-B94A-AF9C4129E85B}"/>
            </a:ext>
          </a:extLst>
        </xdr:cNvPr>
        <xdr:cNvSpPr/>
      </xdr:nvSpPr>
      <xdr:spPr>
        <a:xfrm>
          <a:off x="4436490" y="3683000"/>
          <a:ext cx="3069623" cy="1800000"/>
        </a:xfrm>
        <a:prstGeom prst="rect">
          <a:avLst/>
        </a:prstGeom>
        <a:solidFill>
          <a:srgbClr val="FFFFFF"/>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600" b="0" i="0" u="none" strike="noStrike">
            <a:solidFill>
              <a:srgbClr val="2E3A4D"/>
            </a:solidFill>
            <a:latin typeface="Calibri"/>
            <a:ea typeface="Calibri"/>
            <a:cs typeface="Calibri"/>
          </a:endParaRPr>
        </a:p>
      </xdr:txBody>
    </xdr:sp>
    <xdr:clientData/>
  </xdr:twoCellAnchor>
  <xdr:twoCellAnchor>
    <xdr:from>
      <xdr:col>7</xdr:col>
      <xdr:colOff>153894</xdr:colOff>
      <xdr:row>5</xdr:row>
      <xdr:rowOff>59266</xdr:rowOff>
    </xdr:from>
    <xdr:to>
      <xdr:col>9</xdr:col>
      <xdr:colOff>380999</xdr:colOff>
      <xdr:row>7</xdr:row>
      <xdr:rowOff>29384</xdr:rowOff>
    </xdr:to>
    <xdr:sp macro="" textlink="Sheet2!A2">
      <xdr:nvSpPr>
        <xdr:cNvPr id="16" name="TextBox 15">
          <a:extLst>
            <a:ext uri="{FF2B5EF4-FFF2-40B4-BE49-F238E27FC236}">
              <a16:creationId xmlns:a16="http://schemas.microsoft.com/office/drawing/2014/main" id="{C475BE4D-D6BA-4EAC-387D-8A6BF901E861}"/>
            </a:ext>
          </a:extLst>
        </xdr:cNvPr>
        <xdr:cNvSpPr txBox="1"/>
      </xdr:nvSpPr>
      <xdr:spPr>
        <a:xfrm>
          <a:off x="4421094" y="990599"/>
          <a:ext cx="1446305" cy="342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0" i="0" u="none" strike="noStrike">
              <a:solidFill>
                <a:srgbClr val="000000"/>
              </a:solidFill>
              <a:latin typeface="Calibri"/>
              <a:ea typeface="Calibri"/>
              <a:cs typeface="Calibri"/>
            </a:rPr>
            <a:t>Total Employees</a:t>
          </a:r>
        </a:p>
      </xdr:txBody>
    </xdr:sp>
    <xdr:clientData/>
  </xdr:twoCellAnchor>
  <xdr:twoCellAnchor>
    <xdr:from>
      <xdr:col>7</xdr:col>
      <xdr:colOff>179294</xdr:colOff>
      <xdr:row>7</xdr:row>
      <xdr:rowOff>4481</xdr:rowOff>
    </xdr:from>
    <xdr:to>
      <xdr:col>9</xdr:col>
      <xdr:colOff>246530</xdr:colOff>
      <xdr:row>8</xdr:row>
      <xdr:rowOff>146423</xdr:rowOff>
    </xdr:to>
    <xdr:sp macro="" textlink="Sheet2!A2">
      <xdr:nvSpPr>
        <xdr:cNvPr id="17" name="TextBox 16">
          <a:extLst>
            <a:ext uri="{FF2B5EF4-FFF2-40B4-BE49-F238E27FC236}">
              <a16:creationId xmlns:a16="http://schemas.microsoft.com/office/drawing/2014/main" id="{5C2FE6DA-9D91-813A-D4D9-E1444726684E}"/>
            </a:ext>
          </a:extLst>
        </xdr:cNvPr>
        <xdr:cNvSpPr txBox="1"/>
      </xdr:nvSpPr>
      <xdr:spPr>
        <a:xfrm>
          <a:off x="4467412" y="1311834"/>
          <a:ext cx="1292412" cy="328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536B15-DF89-4999-BAD9-B0A6A9FCE28A}" type="TxLink">
            <a:rPr lang="en-US" sz="1800" b="0" i="0" u="none" strike="noStrike">
              <a:solidFill>
                <a:srgbClr val="000000"/>
              </a:solidFill>
              <a:latin typeface="Calibri"/>
              <a:ea typeface="Calibri"/>
              <a:cs typeface="Calibri"/>
            </a:rPr>
            <a:pPr algn="ctr"/>
            <a:t>200</a:t>
          </a:fld>
          <a:endParaRPr lang="en-IN" sz="1800"/>
        </a:p>
      </xdr:txBody>
    </xdr:sp>
    <xdr:clientData/>
  </xdr:twoCellAnchor>
  <xdr:twoCellAnchor>
    <xdr:from>
      <xdr:col>9</xdr:col>
      <xdr:colOff>600636</xdr:colOff>
      <xdr:row>5</xdr:row>
      <xdr:rowOff>50800</xdr:rowOff>
    </xdr:from>
    <xdr:to>
      <xdr:col>12</xdr:col>
      <xdr:colOff>55283</xdr:colOff>
      <xdr:row>7</xdr:row>
      <xdr:rowOff>20918</xdr:rowOff>
    </xdr:to>
    <xdr:sp macro="" textlink="Sheet2!A2">
      <xdr:nvSpPr>
        <xdr:cNvPr id="18" name="TextBox 17">
          <a:extLst>
            <a:ext uri="{FF2B5EF4-FFF2-40B4-BE49-F238E27FC236}">
              <a16:creationId xmlns:a16="http://schemas.microsoft.com/office/drawing/2014/main" id="{0380615C-BD9A-4419-A6A6-5301DFF72DA3}"/>
            </a:ext>
          </a:extLst>
        </xdr:cNvPr>
        <xdr:cNvSpPr txBox="1"/>
      </xdr:nvSpPr>
      <xdr:spPr>
        <a:xfrm>
          <a:off x="6113930" y="984624"/>
          <a:ext cx="1292412" cy="343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0" i="0" u="none" strike="noStrike">
              <a:solidFill>
                <a:srgbClr val="000000"/>
              </a:solidFill>
              <a:latin typeface="Calibri"/>
              <a:ea typeface="Calibri"/>
              <a:cs typeface="Calibri"/>
            </a:rPr>
            <a:t>Avg</a:t>
          </a:r>
          <a:r>
            <a:rPr lang="en-US" sz="1300" b="0" i="0" u="none" strike="noStrike" baseline="0">
              <a:solidFill>
                <a:srgbClr val="000000"/>
              </a:solidFill>
              <a:latin typeface="Calibri"/>
              <a:ea typeface="Calibri"/>
              <a:cs typeface="Calibri"/>
            </a:rPr>
            <a:t> Salary</a:t>
          </a:r>
        </a:p>
      </xdr:txBody>
    </xdr:sp>
    <xdr:clientData/>
  </xdr:twoCellAnchor>
  <xdr:twoCellAnchor>
    <xdr:from>
      <xdr:col>9</xdr:col>
      <xdr:colOff>585694</xdr:colOff>
      <xdr:row>7</xdr:row>
      <xdr:rowOff>4481</xdr:rowOff>
    </xdr:from>
    <xdr:to>
      <xdr:col>12</xdr:col>
      <xdr:colOff>40341</xdr:colOff>
      <xdr:row>8</xdr:row>
      <xdr:rowOff>146423</xdr:rowOff>
    </xdr:to>
    <xdr:sp macro="" textlink="Sheet2!B2">
      <xdr:nvSpPr>
        <xdr:cNvPr id="19" name="TextBox 18">
          <a:extLst>
            <a:ext uri="{FF2B5EF4-FFF2-40B4-BE49-F238E27FC236}">
              <a16:creationId xmlns:a16="http://schemas.microsoft.com/office/drawing/2014/main" id="{74473EE0-4BF8-4E80-A881-93B7CFC3116F}"/>
            </a:ext>
          </a:extLst>
        </xdr:cNvPr>
        <xdr:cNvSpPr txBox="1"/>
      </xdr:nvSpPr>
      <xdr:spPr>
        <a:xfrm>
          <a:off x="6098988" y="1311834"/>
          <a:ext cx="1292412" cy="328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6247D4-B533-43F3-AADC-878BA6C2ACE0}" type="TxLink">
            <a:rPr lang="en-US" sz="1800" b="0" i="0" u="none" strike="noStrike">
              <a:solidFill>
                <a:srgbClr val="000000"/>
              </a:solidFill>
              <a:latin typeface="Calibri"/>
              <a:ea typeface="Calibri"/>
              <a:cs typeface="Calibri"/>
            </a:rPr>
            <a:pPr algn="ctr"/>
            <a:t>₹ 76,175</a:t>
          </a:fld>
          <a:endParaRPr lang="en-IN" sz="3200"/>
        </a:p>
      </xdr:txBody>
    </xdr:sp>
    <xdr:clientData/>
  </xdr:twoCellAnchor>
  <xdr:twoCellAnchor>
    <xdr:from>
      <xdr:col>12</xdr:col>
      <xdr:colOff>409388</xdr:colOff>
      <xdr:row>5</xdr:row>
      <xdr:rowOff>50800</xdr:rowOff>
    </xdr:from>
    <xdr:to>
      <xdr:col>14</xdr:col>
      <xdr:colOff>476624</xdr:colOff>
      <xdr:row>7</xdr:row>
      <xdr:rowOff>20918</xdr:rowOff>
    </xdr:to>
    <xdr:sp macro="" textlink="Sheet2!A2">
      <xdr:nvSpPr>
        <xdr:cNvPr id="20" name="TextBox 19">
          <a:extLst>
            <a:ext uri="{FF2B5EF4-FFF2-40B4-BE49-F238E27FC236}">
              <a16:creationId xmlns:a16="http://schemas.microsoft.com/office/drawing/2014/main" id="{D22574FA-831C-4DE6-9812-1F214E2F4D78}"/>
            </a:ext>
          </a:extLst>
        </xdr:cNvPr>
        <xdr:cNvSpPr txBox="1"/>
      </xdr:nvSpPr>
      <xdr:spPr>
        <a:xfrm>
          <a:off x="7760447" y="984624"/>
          <a:ext cx="1292412" cy="343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0" i="0" u="none" strike="noStrike">
              <a:solidFill>
                <a:srgbClr val="000000"/>
              </a:solidFill>
              <a:latin typeface="Calibri"/>
              <a:ea typeface="Calibri"/>
              <a:cs typeface="Calibri"/>
            </a:rPr>
            <a:t>Attrition</a:t>
          </a:r>
          <a:r>
            <a:rPr lang="en-US" sz="1300" b="0" i="0" u="none" strike="noStrike" baseline="0">
              <a:solidFill>
                <a:srgbClr val="000000"/>
              </a:solidFill>
              <a:latin typeface="Calibri"/>
              <a:ea typeface="Calibri"/>
              <a:cs typeface="Calibri"/>
            </a:rPr>
            <a:t> Rate</a:t>
          </a:r>
        </a:p>
      </xdr:txBody>
    </xdr:sp>
    <xdr:clientData/>
  </xdr:twoCellAnchor>
  <xdr:twoCellAnchor>
    <xdr:from>
      <xdr:col>15</xdr:col>
      <xdr:colOff>149412</xdr:colOff>
      <xdr:row>5</xdr:row>
      <xdr:rowOff>50800</xdr:rowOff>
    </xdr:from>
    <xdr:to>
      <xdr:col>17</xdr:col>
      <xdr:colOff>283883</xdr:colOff>
      <xdr:row>7</xdr:row>
      <xdr:rowOff>20918</xdr:rowOff>
    </xdr:to>
    <xdr:sp macro="" textlink="Sheet2!A2">
      <xdr:nvSpPr>
        <xdr:cNvPr id="21" name="TextBox 20">
          <a:extLst>
            <a:ext uri="{FF2B5EF4-FFF2-40B4-BE49-F238E27FC236}">
              <a16:creationId xmlns:a16="http://schemas.microsoft.com/office/drawing/2014/main" id="{1B2E6063-D405-4124-BB01-AA6DD092F8EA}"/>
            </a:ext>
          </a:extLst>
        </xdr:cNvPr>
        <xdr:cNvSpPr txBox="1"/>
      </xdr:nvSpPr>
      <xdr:spPr>
        <a:xfrm>
          <a:off x="9338236" y="984624"/>
          <a:ext cx="1359647" cy="34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0" i="0" u="none" strike="noStrike">
              <a:solidFill>
                <a:srgbClr val="000000"/>
              </a:solidFill>
              <a:latin typeface="Calibri"/>
              <a:ea typeface="Calibri"/>
              <a:cs typeface="Calibri"/>
            </a:rPr>
            <a:t>Avg</a:t>
          </a:r>
          <a:r>
            <a:rPr lang="en-US" sz="1300" b="0" i="0" u="none" strike="noStrike" baseline="0">
              <a:solidFill>
                <a:srgbClr val="000000"/>
              </a:solidFill>
              <a:latin typeface="Calibri"/>
              <a:ea typeface="Calibri"/>
              <a:cs typeface="Calibri"/>
            </a:rPr>
            <a:t> Performance</a:t>
          </a:r>
        </a:p>
      </xdr:txBody>
    </xdr:sp>
    <xdr:clientData/>
  </xdr:twoCellAnchor>
  <xdr:twoCellAnchor>
    <xdr:from>
      <xdr:col>15</xdr:col>
      <xdr:colOff>155387</xdr:colOff>
      <xdr:row>7</xdr:row>
      <xdr:rowOff>4481</xdr:rowOff>
    </xdr:from>
    <xdr:to>
      <xdr:col>17</xdr:col>
      <xdr:colOff>222623</xdr:colOff>
      <xdr:row>8</xdr:row>
      <xdr:rowOff>146423</xdr:rowOff>
    </xdr:to>
    <xdr:sp macro="" textlink="Sheet2!C2">
      <xdr:nvSpPr>
        <xdr:cNvPr id="22" name="TextBox 21">
          <a:extLst>
            <a:ext uri="{FF2B5EF4-FFF2-40B4-BE49-F238E27FC236}">
              <a16:creationId xmlns:a16="http://schemas.microsoft.com/office/drawing/2014/main" id="{7DB1385E-36C3-44AD-8ADF-218E50F32F39}"/>
            </a:ext>
          </a:extLst>
        </xdr:cNvPr>
        <xdr:cNvSpPr txBox="1"/>
      </xdr:nvSpPr>
      <xdr:spPr>
        <a:xfrm>
          <a:off x="9344211" y="1311834"/>
          <a:ext cx="1292412" cy="328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3BCCB5-600F-444E-B21E-FED0C44F4021}" type="TxLink">
            <a:rPr lang="en-US" sz="1800" b="0" i="0" u="none" strike="noStrike">
              <a:solidFill>
                <a:srgbClr val="000000"/>
              </a:solidFill>
              <a:latin typeface="Calibri"/>
              <a:ea typeface="Calibri"/>
              <a:cs typeface="Calibri"/>
            </a:rPr>
            <a:pPr algn="ctr"/>
            <a:t>2.88</a:t>
          </a:fld>
          <a:endParaRPr lang="en-IN" sz="1800"/>
        </a:p>
      </xdr:txBody>
    </xdr:sp>
    <xdr:clientData/>
  </xdr:twoCellAnchor>
  <xdr:twoCellAnchor>
    <xdr:from>
      <xdr:col>12</xdr:col>
      <xdr:colOff>386976</xdr:colOff>
      <xdr:row>7</xdr:row>
      <xdr:rowOff>4481</xdr:rowOff>
    </xdr:from>
    <xdr:to>
      <xdr:col>14</xdr:col>
      <xdr:colOff>454212</xdr:colOff>
      <xdr:row>8</xdr:row>
      <xdr:rowOff>146423</xdr:rowOff>
    </xdr:to>
    <xdr:sp macro="" textlink="Sheet2!C9">
      <xdr:nvSpPr>
        <xdr:cNvPr id="23" name="TextBox 22">
          <a:extLst>
            <a:ext uri="{FF2B5EF4-FFF2-40B4-BE49-F238E27FC236}">
              <a16:creationId xmlns:a16="http://schemas.microsoft.com/office/drawing/2014/main" id="{DE4A2CCF-1596-47E3-B441-B647D16C10A7}"/>
            </a:ext>
          </a:extLst>
        </xdr:cNvPr>
        <xdr:cNvSpPr txBox="1"/>
      </xdr:nvSpPr>
      <xdr:spPr>
        <a:xfrm>
          <a:off x="7738035" y="1311834"/>
          <a:ext cx="1292412" cy="328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E92E91-2A06-431A-A7C9-8E06C3EC4A19}" type="TxLink">
            <a:rPr lang="en-US" sz="1800" b="0" i="0" u="none" strike="noStrike">
              <a:solidFill>
                <a:srgbClr val="000000"/>
              </a:solidFill>
              <a:latin typeface="Calibri"/>
              <a:ea typeface="Calibri"/>
              <a:cs typeface="Calibri"/>
            </a:rPr>
            <a:pPr algn="ctr"/>
            <a:t>47.00%</a:t>
          </a:fld>
          <a:endParaRPr lang="en-IN" sz="1800"/>
        </a:p>
      </xdr:txBody>
    </xdr:sp>
    <xdr:clientData/>
  </xdr:twoCellAnchor>
  <xdr:twoCellAnchor>
    <xdr:from>
      <xdr:col>18</xdr:col>
      <xdr:colOff>1493</xdr:colOff>
      <xdr:row>6</xdr:row>
      <xdr:rowOff>183776</xdr:rowOff>
    </xdr:from>
    <xdr:to>
      <xdr:col>20</xdr:col>
      <xdr:colOff>68728</xdr:colOff>
      <xdr:row>8</xdr:row>
      <xdr:rowOff>138953</xdr:rowOff>
    </xdr:to>
    <xdr:sp macro="" textlink="Sheet2!D2">
      <xdr:nvSpPr>
        <xdr:cNvPr id="25" name="TextBox 24">
          <a:extLst>
            <a:ext uri="{FF2B5EF4-FFF2-40B4-BE49-F238E27FC236}">
              <a16:creationId xmlns:a16="http://schemas.microsoft.com/office/drawing/2014/main" id="{14E151B6-40A3-4DB0-8D1E-677C3F881BAE}"/>
            </a:ext>
          </a:extLst>
        </xdr:cNvPr>
        <xdr:cNvSpPr txBox="1"/>
      </xdr:nvSpPr>
      <xdr:spPr>
        <a:xfrm>
          <a:off x="11028081" y="1304364"/>
          <a:ext cx="1292412" cy="328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73B4A1-D9A9-45FE-8353-11020056D0C1}" type="TxLink">
            <a:rPr lang="en-US" sz="1800" b="0" i="0" u="none" strike="noStrike">
              <a:solidFill>
                <a:srgbClr val="000000"/>
              </a:solidFill>
              <a:latin typeface="Calibri"/>
              <a:ea typeface="Calibri"/>
              <a:cs typeface="Calibri"/>
            </a:rPr>
            <a:pPr algn="ctr"/>
            <a:t>19.21</a:t>
          </a:fld>
          <a:r>
            <a:rPr lang="en-US" sz="1800" b="0" i="0" u="none" strike="noStrike">
              <a:solidFill>
                <a:srgbClr val="000000"/>
              </a:solidFill>
              <a:latin typeface="Calibri"/>
              <a:ea typeface="Calibri"/>
              <a:cs typeface="Calibri"/>
            </a:rPr>
            <a:t> hrs</a:t>
          </a:r>
          <a:endParaRPr lang="en-IN" sz="3200"/>
        </a:p>
      </xdr:txBody>
    </xdr:sp>
    <xdr:clientData/>
  </xdr:twoCellAnchor>
  <xdr:twoCellAnchor>
    <xdr:from>
      <xdr:col>7</xdr:col>
      <xdr:colOff>388471</xdr:colOff>
      <xdr:row>7</xdr:row>
      <xdr:rowOff>2988</xdr:rowOff>
    </xdr:from>
    <xdr:to>
      <xdr:col>9</xdr:col>
      <xdr:colOff>37354</xdr:colOff>
      <xdr:row>7</xdr:row>
      <xdr:rowOff>2988</xdr:rowOff>
    </xdr:to>
    <xdr:cxnSp macro="">
      <xdr:nvCxnSpPr>
        <xdr:cNvPr id="27" name="Straight Connector 26">
          <a:extLst>
            <a:ext uri="{FF2B5EF4-FFF2-40B4-BE49-F238E27FC236}">
              <a16:creationId xmlns:a16="http://schemas.microsoft.com/office/drawing/2014/main" id="{CA8D84CB-6252-70E1-9292-5A9A62D8C9DF}"/>
            </a:ext>
          </a:extLst>
        </xdr:cNvPr>
        <xdr:cNvCxnSpPr/>
      </xdr:nvCxnSpPr>
      <xdr:spPr>
        <a:xfrm>
          <a:off x="4676589" y="1310341"/>
          <a:ext cx="87405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174813</xdr:colOff>
      <xdr:row>7</xdr:row>
      <xdr:rowOff>2988</xdr:rowOff>
    </xdr:from>
    <xdr:to>
      <xdr:col>11</xdr:col>
      <xdr:colOff>436283</xdr:colOff>
      <xdr:row>7</xdr:row>
      <xdr:rowOff>2988</xdr:rowOff>
    </xdr:to>
    <xdr:cxnSp macro="">
      <xdr:nvCxnSpPr>
        <xdr:cNvPr id="28" name="Straight Connector 27">
          <a:extLst>
            <a:ext uri="{FF2B5EF4-FFF2-40B4-BE49-F238E27FC236}">
              <a16:creationId xmlns:a16="http://schemas.microsoft.com/office/drawing/2014/main" id="{51363B8C-D1D0-4AEB-8808-C98862DD0CC2}"/>
            </a:ext>
          </a:extLst>
        </xdr:cNvPr>
        <xdr:cNvCxnSpPr/>
      </xdr:nvCxnSpPr>
      <xdr:spPr>
        <a:xfrm>
          <a:off x="6300695" y="1310341"/>
          <a:ext cx="87405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5977</xdr:colOff>
      <xdr:row>7</xdr:row>
      <xdr:rowOff>2988</xdr:rowOff>
    </xdr:from>
    <xdr:to>
      <xdr:col>14</xdr:col>
      <xdr:colOff>267448</xdr:colOff>
      <xdr:row>7</xdr:row>
      <xdr:rowOff>2988</xdr:rowOff>
    </xdr:to>
    <xdr:cxnSp macro="">
      <xdr:nvCxnSpPr>
        <xdr:cNvPr id="29" name="Straight Connector 28">
          <a:extLst>
            <a:ext uri="{FF2B5EF4-FFF2-40B4-BE49-F238E27FC236}">
              <a16:creationId xmlns:a16="http://schemas.microsoft.com/office/drawing/2014/main" id="{BC30797B-01DF-4C8D-8E90-E203C5DE3990}"/>
            </a:ext>
          </a:extLst>
        </xdr:cNvPr>
        <xdr:cNvCxnSpPr/>
      </xdr:nvCxnSpPr>
      <xdr:spPr>
        <a:xfrm>
          <a:off x="7969624" y="1310341"/>
          <a:ext cx="87405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427318</xdr:colOff>
      <xdr:row>7</xdr:row>
      <xdr:rowOff>2988</xdr:rowOff>
    </xdr:from>
    <xdr:to>
      <xdr:col>17</xdr:col>
      <xdr:colOff>76201</xdr:colOff>
      <xdr:row>7</xdr:row>
      <xdr:rowOff>2988</xdr:rowOff>
    </xdr:to>
    <xdr:cxnSp macro="">
      <xdr:nvCxnSpPr>
        <xdr:cNvPr id="30" name="Straight Connector 29">
          <a:extLst>
            <a:ext uri="{FF2B5EF4-FFF2-40B4-BE49-F238E27FC236}">
              <a16:creationId xmlns:a16="http://schemas.microsoft.com/office/drawing/2014/main" id="{9D2C8A8B-A3AC-48B3-8C03-C3BF23681776}"/>
            </a:ext>
          </a:extLst>
        </xdr:cNvPr>
        <xdr:cNvCxnSpPr/>
      </xdr:nvCxnSpPr>
      <xdr:spPr>
        <a:xfrm>
          <a:off x="9616142" y="1310341"/>
          <a:ext cx="87405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168836</xdr:colOff>
      <xdr:row>7</xdr:row>
      <xdr:rowOff>2988</xdr:rowOff>
    </xdr:from>
    <xdr:to>
      <xdr:col>19</xdr:col>
      <xdr:colOff>430307</xdr:colOff>
      <xdr:row>7</xdr:row>
      <xdr:rowOff>2988</xdr:rowOff>
    </xdr:to>
    <xdr:cxnSp macro="">
      <xdr:nvCxnSpPr>
        <xdr:cNvPr id="31" name="Straight Connector 30">
          <a:extLst>
            <a:ext uri="{FF2B5EF4-FFF2-40B4-BE49-F238E27FC236}">
              <a16:creationId xmlns:a16="http://schemas.microsoft.com/office/drawing/2014/main" id="{CCDFB08E-6FE8-4C98-B1F7-9D606D908D58}"/>
            </a:ext>
          </a:extLst>
        </xdr:cNvPr>
        <xdr:cNvCxnSpPr/>
      </xdr:nvCxnSpPr>
      <xdr:spPr>
        <a:xfrm>
          <a:off x="11195424" y="1310341"/>
          <a:ext cx="87405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548342</xdr:colOff>
      <xdr:row>5</xdr:row>
      <xdr:rowOff>50801</xdr:rowOff>
    </xdr:from>
    <xdr:to>
      <xdr:col>20</xdr:col>
      <xdr:colOff>70224</xdr:colOff>
      <xdr:row>6</xdr:row>
      <xdr:rowOff>149412</xdr:rowOff>
    </xdr:to>
    <xdr:sp macro="" textlink="Sheet2!A2">
      <xdr:nvSpPr>
        <xdr:cNvPr id="32" name="TextBox 31">
          <a:extLst>
            <a:ext uri="{FF2B5EF4-FFF2-40B4-BE49-F238E27FC236}">
              <a16:creationId xmlns:a16="http://schemas.microsoft.com/office/drawing/2014/main" id="{B9C8824E-CB79-41FA-9F23-7918B9337711}"/>
            </a:ext>
          </a:extLst>
        </xdr:cNvPr>
        <xdr:cNvSpPr txBox="1"/>
      </xdr:nvSpPr>
      <xdr:spPr>
        <a:xfrm>
          <a:off x="10962342" y="984625"/>
          <a:ext cx="1359647" cy="285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0" i="0" u="none" strike="noStrike">
              <a:solidFill>
                <a:srgbClr val="000000"/>
              </a:solidFill>
              <a:latin typeface="Calibri"/>
              <a:ea typeface="Calibri"/>
              <a:cs typeface="Calibri"/>
            </a:rPr>
            <a:t>Avg</a:t>
          </a:r>
          <a:r>
            <a:rPr lang="en-US" sz="1300" b="0" i="0" u="none" strike="noStrike" baseline="0">
              <a:solidFill>
                <a:srgbClr val="000000"/>
              </a:solidFill>
              <a:latin typeface="Calibri"/>
              <a:ea typeface="Calibri"/>
              <a:cs typeface="Calibri"/>
            </a:rPr>
            <a:t> Over Time</a:t>
          </a:r>
        </a:p>
      </xdr:txBody>
    </xdr:sp>
    <xdr:clientData/>
  </xdr:twoCellAnchor>
  <xdr:twoCellAnchor>
    <xdr:from>
      <xdr:col>7</xdr:col>
      <xdr:colOff>152400</xdr:colOff>
      <xdr:row>9</xdr:row>
      <xdr:rowOff>135467</xdr:rowOff>
    </xdr:from>
    <xdr:to>
      <xdr:col>12</xdr:col>
      <xdr:colOff>152400</xdr:colOff>
      <xdr:row>19</xdr:row>
      <xdr:rowOff>25400</xdr:rowOff>
    </xdr:to>
    <xdr:graphicFrame macro="">
      <xdr:nvGraphicFramePr>
        <xdr:cNvPr id="41" name="Chart 40">
          <a:extLst>
            <a:ext uri="{FF2B5EF4-FFF2-40B4-BE49-F238E27FC236}">
              <a16:creationId xmlns:a16="http://schemas.microsoft.com/office/drawing/2014/main" id="{0C2C543D-70C7-4760-AEFE-2D982E42C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355557</xdr:colOff>
      <xdr:row>9</xdr:row>
      <xdr:rowOff>127000</xdr:rowOff>
    </xdr:from>
    <xdr:to>
      <xdr:col>20</xdr:col>
      <xdr:colOff>59267</xdr:colOff>
      <xdr:row>19</xdr:row>
      <xdr:rowOff>59352</xdr:rowOff>
    </xdr:to>
    <xdr:sp macro="" textlink="">
      <xdr:nvSpPr>
        <xdr:cNvPr id="43" name="Rectangle 42">
          <a:extLst>
            <a:ext uri="{FF2B5EF4-FFF2-40B4-BE49-F238E27FC236}">
              <a16:creationId xmlns:a16="http://schemas.microsoft.com/office/drawing/2014/main" id="{550BA9BF-F971-4650-958A-C596D0BFB27B}"/>
            </a:ext>
          </a:extLst>
        </xdr:cNvPr>
        <xdr:cNvSpPr/>
      </xdr:nvSpPr>
      <xdr:spPr>
        <a:xfrm>
          <a:off x="9499557" y="1803400"/>
          <a:ext cx="2751710" cy="1795019"/>
        </a:xfrm>
        <a:prstGeom prst="rect">
          <a:avLst/>
        </a:prstGeom>
        <a:solidFill>
          <a:srgbClr val="FFFFFF"/>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600" b="0" i="0" u="none" strike="noStrike">
            <a:solidFill>
              <a:srgbClr val="2E3A4D"/>
            </a:solidFill>
            <a:latin typeface="Calibri"/>
            <a:ea typeface="Calibri"/>
            <a:cs typeface="Calibri"/>
          </a:endParaRPr>
        </a:p>
      </xdr:txBody>
    </xdr:sp>
    <xdr:clientData/>
  </xdr:twoCellAnchor>
  <xdr:twoCellAnchor>
    <xdr:from>
      <xdr:col>12</xdr:col>
      <xdr:colOff>203157</xdr:colOff>
      <xdr:row>9</xdr:row>
      <xdr:rowOff>126999</xdr:rowOff>
    </xdr:from>
    <xdr:to>
      <xdr:col>15</xdr:col>
      <xdr:colOff>287866</xdr:colOff>
      <xdr:row>19</xdr:row>
      <xdr:rowOff>59351</xdr:rowOff>
    </xdr:to>
    <xdr:sp macro="" textlink="">
      <xdr:nvSpPr>
        <xdr:cNvPr id="45" name="Rectangle 44">
          <a:extLst>
            <a:ext uri="{FF2B5EF4-FFF2-40B4-BE49-F238E27FC236}">
              <a16:creationId xmlns:a16="http://schemas.microsoft.com/office/drawing/2014/main" id="{3CDC80BA-7092-406B-A4B1-54A68C099103}"/>
            </a:ext>
          </a:extLst>
        </xdr:cNvPr>
        <xdr:cNvSpPr/>
      </xdr:nvSpPr>
      <xdr:spPr>
        <a:xfrm>
          <a:off x="7518357" y="1803399"/>
          <a:ext cx="1913509" cy="1795019"/>
        </a:xfrm>
        <a:prstGeom prst="rect">
          <a:avLst/>
        </a:prstGeom>
        <a:solidFill>
          <a:srgbClr val="FFFFFF"/>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600" b="0" i="0" u="none" strike="noStrike">
            <a:solidFill>
              <a:srgbClr val="2E3A4D"/>
            </a:solidFill>
            <a:latin typeface="Calibri"/>
            <a:ea typeface="Calibri"/>
            <a:cs typeface="Calibri"/>
          </a:endParaRPr>
        </a:p>
      </xdr:txBody>
    </xdr:sp>
    <xdr:clientData/>
  </xdr:twoCellAnchor>
  <xdr:twoCellAnchor>
    <xdr:from>
      <xdr:col>12</xdr:col>
      <xdr:colOff>220134</xdr:colOff>
      <xdr:row>9</xdr:row>
      <xdr:rowOff>135466</xdr:rowOff>
    </xdr:from>
    <xdr:to>
      <xdr:col>15</xdr:col>
      <xdr:colOff>296334</xdr:colOff>
      <xdr:row>19</xdr:row>
      <xdr:rowOff>50800</xdr:rowOff>
    </xdr:to>
    <xdr:graphicFrame macro="">
      <xdr:nvGraphicFramePr>
        <xdr:cNvPr id="42" name="Chart 41">
          <a:extLst>
            <a:ext uri="{FF2B5EF4-FFF2-40B4-BE49-F238E27FC236}">
              <a16:creationId xmlns:a16="http://schemas.microsoft.com/office/drawing/2014/main" id="{D7347738-4BC0-4029-B774-8F4098581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203157</xdr:colOff>
      <xdr:row>19</xdr:row>
      <xdr:rowOff>160866</xdr:rowOff>
    </xdr:from>
    <xdr:to>
      <xdr:col>12</xdr:col>
      <xdr:colOff>135467</xdr:colOff>
      <xdr:row>29</xdr:row>
      <xdr:rowOff>16934</xdr:rowOff>
    </xdr:to>
    <xdr:graphicFrame macro="">
      <xdr:nvGraphicFramePr>
        <xdr:cNvPr id="10" name="Chart 9">
          <a:extLst>
            <a:ext uri="{FF2B5EF4-FFF2-40B4-BE49-F238E27FC236}">
              <a16:creationId xmlns:a16="http://schemas.microsoft.com/office/drawing/2014/main" id="{35CCC408-BD1E-4636-9645-DEE7E3256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321692</xdr:colOff>
      <xdr:row>9</xdr:row>
      <xdr:rowOff>127001</xdr:rowOff>
    </xdr:from>
    <xdr:to>
      <xdr:col>20</xdr:col>
      <xdr:colOff>59267</xdr:colOff>
      <xdr:row>19</xdr:row>
      <xdr:rowOff>59267</xdr:rowOff>
    </xdr:to>
    <xdr:graphicFrame macro="">
      <xdr:nvGraphicFramePr>
        <xdr:cNvPr id="11" name="Chart 10">
          <a:extLst>
            <a:ext uri="{FF2B5EF4-FFF2-40B4-BE49-F238E27FC236}">
              <a16:creationId xmlns:a16="http://schemas.microsoft.com/office/drawing/2014/main" id="{7CBF041E-4771-45A2-84A7-0A57471D3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228557</xdr:colOff>
      <xdr:row>19</xdr:row>
      <xdr:rowOff>135466</xdr:rowOff>
    </xdr:from>
    <xdr:to>
      <xdr:col>20</xdr:col>
      <xdr:colOff>59267</xdr:colOff>
      <xdr:row>29</xdr:row>
      <xdr:rowOff>67819</xdr:rowOff>
    </xdr:to>
    <xdr:sp macro="" textlink="">
      <xdr:nvSpPr>
        <xdr:cNvPr id="24" name="Rectangle 23">
          <a:extLst>
            <a:ext uri="{FF2B5EF4-FFF2-40B4-BE49-F238E27FC236}">
              <a16:creationId xmlns:a16="http://schemas.microsoft.com/office/drawing/2014/main" id="{B6A35EB0-28D1-4E26-AA6D-46F813C12B9C}"/>
            </a:ext>
          </a:extLst>
        </xdr:cNvPr>
        <xdr:cNvSpPr/>
      </xdr:nvSpPr>
      <xdr:spPr>
        <a:xfrm>
          <a:off x="7543757" y="3674533"/>
          <a:ext cx="4707510" cy="1795019"/>
        </a:xfrm>
        <a:prstGeom prst="rect">
          <a:avLst/>
        </a:prstGeom>
        <a:solidFill>
          <a:srgbClr val="FFFFFF"/>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600" b="0" i="0" u="none" strike="noStrike">
            <a:solidFill>
              <a:srgbClr val="2E3A4D"/>
            </a:solidFill>
            <a:latin typeface="Calibri"/>
            <a:ea typeface="Calibri"/>
            <a:cs typeface="Calibri"/>
          </a:endParaRPr>
        </a:p>
      </xdr:txBody>
    </xdr:sp>
    <xdr:clientData/>
  </xdr:twoCellAnchor>
  <xdr:twoCellAnchor>
    <xdr:from>
      <xdr:col>12</xdr:col>
      <xdr:colOff>279400</xdr:colOff>
      <xdr:row>19</xdr:row>
      <xdr:rowOff>143933</xdr:rowOff>
    </xdr:from>
    <xdr:to>
      <xdr:col>20</xdr:col>
      <xdr:colOff>50800</xdr:colOff>
      <xdr:row>29</xdr:row>
      <xdr:rowOff>42334</xdr:rowOff>
    </xdr:to>
    <xdr:graphicFrame macro="">
      <xdr:nvGraphicFramePr>
        <xdr:cNvPr id="12" name="Chart 11">
          <a:extLst>
            <a:ext uri="{FF2B5EF4-FFF2-40B4-BE49-F238E27FC236}">
              <a16:creationId xmlns:a16="http://schemas.microsoft.com/office/drawing/2014/main" id="{312734BF-0698-4492-B527-5FB632C99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609599</xdr:colOff>
      <xdr:row>10</xdr:row>
      <xdr:rowOff>78357</xdr:rowOff>
    </xdr:from>
    <xdr:to>
      <xdr:col>7</xdr:col>
      <xdr:colOff>50798</xdr:colOff>
      <xdr:row>15</xdr:row>
      <xdr:rowOff>50799</xdr:rowOff>
    </xdr:to>
    <mc:AlternateContent xmlns:mc="http://schemas.openxmlformats.org/markup-compatibility/2006" xmlns:a14="http://schemas.microsoft.com/office/drawing/2010/main">
      <mc:Choice Requires="a14">
        <xdr:graphicFrame macro="">
          <xdr:nvGraphicFramePr>
            <xdr:cNvPr id="26" name="Attrition">
              <a:extLst>
                <a:ext uri="{FF2B5EF4-FFF2-40B4-BE49-F238E27FC236}">
                  <a16:creationId xmlns:a16="http://schemas.microsoft.com/office/drawing/2014/main" id="{929163A5-EF30-4C73-AD5C-F5F7F4C686A9}"/>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3047999" y="1941024"/>
              <a:ext cx="1269999" cy="903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601132</xdr:colOff>
      <xdr:row>15</xdr:row>
      <xdr:rowOff>143934</xdr:rowOff>
    </xdr:from>
    <xdr:to>
      <xdr:col>7</xdr:col>
      <xdr:colOff>50799</xdr:colOff>
      <xdr:row>20</xdr:row>
      <xdr:rowOff>130378</xdr:rowOff>
    </xdr:to>
    <mc:AlternateContent xmlns:mc="http://schemas.openxmlformats.org/markup-compatibility/2006" xmlns:a14="http://schemas.microsoft.com/office/drawing/2010/main">
      <mc:Choice Requires="a14">
        <xdr:graphicFrame macro="">
          <xdr:nvGraphicFramePr>
            <xdr:cNvPr id="33" name="Gender">
              <a:extLst>
                <a:ext uri="{FF2B5EF4-FFF2-40B4-BE49-F238E27FC236}">
                  <a16:creationId xmlns:a16="http://schemas.microsoft.com/office/drawing/2014/main" id="{2876068C-0D49-4700-A467-D9E06B8DC47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039532" y="2937934"/>
              <a:ext cx="1278467" cy="917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601132</xdr:colOff>
      <xdr:row>21</xdr:row>
      <xdr:rowOff>67733</xdr:rowOff>
    </xdr:from>
    <xdr:to>
      <xdr:col>7</xdr:col>
      <xdr:colOff>50799</xdr:colOff>
      <xdr:row>29</xdr:row>
      <xdr:rowOff>42559</xdr:rowOff>
    </xdr:to>
    <mc:AlternateContent xmlns:mc="http://schemas.openxmlformats.org/markup-compatibility/2006" xmlns:a14="http://schemas.microsoft.com/office/drawing/2010/main">
      <mc:Choice Requires="a14">
        <xdr:graphicFrame macro="">
          <xdr:nvGraphicFramePr>
            <xdr:cNvPr id="34" name="Region">
              <a:extLst>
                <a:ext uri="{FF2B5EF4-FFF2-40B4-BE49-F238E27FC236}">
                  <a16:creationId xmlns:a16="http://schemas.microsoft.com/office/drawing/2014/main" id="{B4A346FF-F1D8-4C94-BA5B-3B2F534330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39532" y="3979333"/>
              <a:ext cx="1278467" cy="1464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313266</xdr:colOff>
      <xdr:row>7</xdr:row>
      <xdr:rowOff>127000</xdr:rowOff>
    </xdr:from>
    <xdr:to>
      <xdr:col>6</xdr:col>
      <xdr:colOff>194733</xdr:colOff>
      <xdr:row>10</xdr:row>
      <xdr:rowOff>59267</xdr:rowOff>
    </xdr:to>
    <xdr:pic>
      <xdr:nvPicPr>
        <xdr:cNvPr id="36" name="Picture 35">
          <a:extLst>
            <a:ext uri="{FF2B5EF4-FFF2-40B4-BE49-F238E27FC236}">
              <a16:creationId xmlns:a16="http://schemas.microsoft.com/office/drawing/2014/main" id="{0297CA71-AB89-9145-3481-73562E5681C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361266" y="1430867"/>
          <a:ext cx="491067" cy="491067"/>
        </a:xfrm>
        <a:prstGeom prst="rect">
          <a:avLst/>
        </a:prstGeom>
      </xdr:spPr>
    </xdr:pic>
    <xdr:clientData/>
  </xdr:twoCellAnchor>
  <xdr:twoCellAnchor>
    <xdr:from>
      <xdr:col>5</xdr:col>
      <xdr:colOff>93134</xdr:colOff>
      <xdr:row>5</xdr:row>
      <xdr:rowOff>76200</xdr:rowOff>
    </xdr:from>
    <xdr:to>
      <xdr:col>6</xdr:col>
      <xdr:colOff>474133</xdr:colOff>
      <xdr:row>7</xdr:row>
      <xdr:rowOff>76200</xdr:rowOff>
    </xdr:to>
    <xdr:sp macro="" textlink="">
      <xdr:nvSpPr>
        <xdr:cNvPr id="37" name="TextBox 36">
          <a:extLst>
            <a:ext uri="{FF2B5EF4-FFF2-40B4-BE49-F238E27FC236}">
              <a16:creationId xmlns:a16="http://schemas.microsoft.com/office/drawing/2014/main" id="{0EEF8461-2912-988E-527B-64D3A64162CC}"/>
            </a:ext>
          </a:extLst>
        </xdr:cNvPr>
        <xdr:cNvSpPr txBox="1"/>
      </xdr:nvSpPr>
      <xdr:spPr>
        <a:xfrm>
          <a:off x="3141134" y="1007533"/>
          <a:ext cx="990599" cy="37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Times New Roman" panose="02020603050405020304" pitchFamily="18" charset="0"/>
              <a:cs typeface="Times New Roman" panose="02020603050405020304" pitchFamily="18" charset="0"/>
            </a:rPr>
            <a:t>SLICER</a:t>
          </a:r>
        </a:p>
      </xdr:txBody>
    </xdr:sp>
    <xdr:clientData/>
  </xdr:twoCellAnchor>
  <xdr:twoCellAnchor>
    <xdr:from>
      <xdr:col>5</xdr:col>
      <xdr:colOff>155389</xdr:colOff>
      <xdr:row>7</xdr:row>
      <xdr:rowOff>31874</xdr:rowOff>
    </xdr:from>
    <xdr:to>
      <xdr:col>6</xdr:col>
      <xdr:colOff>413872</xdr:colOff>
      <xdr:row>7</xdr:row>
      <xdr:rowOff>31874</xdr:rowOff>
    </xdr:to>
    <xdr:cxnSp macro="">
      <xdr:nvCxnSpPr>
        <xdr:cNvPr id="39" name="Straight Connector 38">
          <a:extLst>
            <a:ext uri="{FF2B5EF4-FFF2-40B4-BE49-F238E27FC236}">
              <a16:creationId xmlns:a16="http://schemas.microsoft.com/office/drawing/2014/main" id="{14D6DE8A-8B0C-41E7-82C6-03EB49FB0DB7}"/>
            </a:ext>
          </a:extLst>
        </xdr:cNvPr>
        <xdr:cNvCxnSpPr/>
      </xdr:nvCxnSpPr>
      <xdr:spPr>
        <a:xfrm>
          <a:off x="3203389" y="1335741"/>
          <a:ext cx="86808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8467</xdr:colOff>
      <xdr:row>7</xdr:row>
      <xdr:rowOff>101600</xdr:rowOff>
    </xdr:from>
    <xdr:ext cx="184731" cy="264560"/>
    <xdr:sp macro="" textlink="">
      <xdr:nvSpPr>
        <xdr:cNvPr id="40" name="TextBox 39">
          <a:extLst>
            <a:ext uri="{FF2B5EF4-FFF2-40B4-BE49-F238E27FC236}">
              <a16:creationId xmlns:a16="http://schemas.microsoft.com/office/drawing/2014/main" id="{0453EDBA-6323-00B1-EF96-CCDA6B6B9729}"/>
            </a:ext>
          </a:extLst>
        </xdr:cNvPr>
        <xdr:cNvSpPr txBox="1"/>
      </xdr:nvSpPr>
      <xdr:spPr>
        <a:xfrm>
          <a:off x="1227667" y="14054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1" refreshedDate="46063.767910763891" createdVersion="8" refreshedVersion="8" minRefreshableVersion="3" recordCount="200" xr:uid="{266202CD-9721-466D-B43C-75086AA22CBD}">
  <cacheSource type="worksheet">
    <worksheetSource name="Table1"/>
  </cacheSource>
  <cacheFields count="19">
    <cacheField name="Employee_ID" numFmtId="0">
      <sharedItems/>
    </cacheField>
    <cacheField name="Employee_Name" numFmtId="0">
      <sharedItems/>
    </cacheField>
    <cacheField name="Gender" numFmtId="0">
      <sharedItems count="2">
        <s v="Female"/>
        <s v="Male"/>
      </sharedItems>
    </cacheField>
    <cacheField name="Department" numFmtId="0">
      <sharedItems count="5">
        <s v="Marketing"/>
        <s v="IT"/>
        <s v="Sales"/>
        <s v="HR"/>
        <s v="Finance"/>
      </sharedItems>
    </cacheField>
    <cacheField name="Job_Role" numFmtId="0">
      <sharedItems/>
    </cacheField>
    <cacheField name="Hire_Date" numFmtId="14">
      <sharedItems containsSemiMixedTypes="0" containsNonDate="0" containsDate="1" containsString="0" minDate="2018-02-05T00:00:00" maxDate="2024-11-03T00:00:00"/>
    </cacheField>
    <cacheField name="Salary" numFmtId="0">
      <sharedItems containsSemiMixedTypes="0" containsString="0" containsNumber="1" containsInteger="1" minValue="26341" maxValue="119785"/>
    </cacheField>
    <cacheField name="Performance_Rating" numFmtId="0">
      <sharedItems containsSemiMixedTypes="0" containsString="0" containsNumber="1" containsInteger="1" minValue="1" maxValue="5" count="5">
        <n v="5"/>
        <n v="2"/>
        <n v="4"/>
        <n v="1"/>
        <n v="3"/>
      </sharedItems>
    </cacheField>
    <cacheField name="Attendance_%" numFmtId="0">
      <sharedItems containsSemiMixedTypes="0" containsString="0" containsNumber="1" minValue="75.099999999999994" maxValue="99.97"/>
    </cacheField>
    <cacheField name="Overtime_Hours" numFmtId="0">
      <sharedItems containsSemiMixedTypes="0" containsString="0" containsNumber="1" containsInteger="1" minValue="0" maxValue="40"/>
    </cacheField>
    <cacheField name="Attrition" numFmtId="0">
      <sharedItems count="2">
        <s v="No"/>
        <s v="Yes"/>
      </sharedItems>
    </cacheField>
    <cacheField name="Region" numFmtId="0">
      <sharedItems count="4">
        <s v="South"/>
        <s v="East"/>
        <s v="West"/>
        <s v="North"/>
      </sharedItems>
    </cacheField>
    <cacheField name="Year" numFmtId="14">
      <sharedItems containsSemiMixedTypes="0" containsNonDate="0" containsDate="1" containsString="0" minDate="2018-02-05T00:00:00" maxDate="2024-11-03T00:00:00" count="192">
        <d v="2020-11-03T00:00:00"/>
        <d v="2022-12-11T00:00:00"/>
        <d v="2024-09-01T00:00:00"/>
        <d v="2024-09-16T00:00:00"/>
        <d v="2023-08-23T00:00:00"/>
        <d v="2022-09-18T00:00:00"/>
        <d v="2022-11-27T00:00:00"/>
        <d v="2018-05-05T00:00:00"/>
        <d v="2023-07-17T00:00:00"/>
        <d v="2018-08-25T00:00:00"/>
        <d v="2023-09-27T00:00:00"/>
        <d v="2022-10-12T00:00:00"/>
        <d v="2019-08-05T00:00:00"/>
        <d v="2023-08-12T00:00:00"/>
        <d v="2022-01-31T00:00:00"/>
        <d v="2023-11-08T00:00:00"/>
        <d v="2020-07-22T00:00:00"/>
        <d v="2018-04-16T00:00:00"/>
        <d v="2023-07-06T00:00:00"/>
        <d v="2020-07-13T00:00:00"/>
        <d v="2024-11-02T00:00:00"/>
        <d v="2019-09-26T00:00:00"/>
        <d v="2023-10-31T00:00:00"/>
        <d v="2020-02-05T00:00:00"/>
        <d v="2024-04-26T00:00:00"/>
        <d v="2022-11-15T00:00:00"/>
        <d v="2019-01-09T00:00:00"/>
        <d v="2018-08-04T00:00:00"/>
        <d v="2024-06-22T00:00:00"/>
        <d v="2019-05-16T00:00:00"/>
        <d v="2018-02-05T00:00:00"/>
        <d v="2023-06-21T00:00:00"/>
        <d v="2021-09-09T00:00:00"/>
        <d v="2020-07-26T00:00:00"/>
        <d v="2018-09-09T00:00:00"/>
        <d v="2022-02-07T00:00:00"/>
        <d v="2022-08-10T00:00:00"/>
        <d v="2021-07-27T00:00:00"/>
        <d v="2021-10-02T00:00:00"/>
        <d v="2021-03-31T00:00:00"/>
        <d v="2019-12-05T00:00:00"/>
        <d v="2020-10-22T00:00:00"/>
        <d v="2023-06-07T00:00:00"/>
        <d v="2018-03-23T00:00:00"/>
        <d v="2022-01-10T00:00:00"/>
        <d v="2023-10-06T00:00:00"/>
        <d v="2023-05-27T00:00:00"/>
        <d v="2018-06-22T00:00:00"/>
        <d v="2019-11-26T00:00:00"/>
        <d v="2020-02-10T00:00:00"/>
        <d v="2020-02-13T00:00:00"/>
        <d v="2020-07-30T00:00:00"/>
        <d v="2021-06-17T00:00:00"/>
        <d v="2022-08-15T00:00:00"/>
        <d v="2023-01-14T00:00:00"/>
        <d v="2021-07-11T00:00:00"/>
        <d v="2020-08-26T00:00:00"/>
        <d v="2019-10-09T00:00:00"/>
        <d v="2023-09-07T00:00:00"/>
        <d v="2023-05-25T00:00:00"/>
        <d v="2024-06-02T00:00:00"/>
        <d v="2024-08-13T00:00:00"/>
        <d v="2021-02-01T00:00:00"/>
        <d v="2022-07-17T00:00:00"/>
        <d v="2021-10-16T00:00:00"/>
        <d v="2022-11-23T00:00:00"/>
        <d v="2018-05-22T00:00:00"/>
        <d v="2024-06-27T00:00:00"/>
        <d v="2018-02-24T00:00:00"/>
        <d v="2020-06-19T00:00:00"/>
        <d v="2020-12-21T00:00:00"/>
        <d v="2019-05-03T00:00:00"/>
        <d v="2019-08-17T00:00:00"/>
        <d v="2018-02-27T00:00:00"/>
        <d v="2021-10-29T00:00:00"/>
        <d v="2022-08-03T00:00:00"/>
        <d v="2019-04-03T00:00:00"/>
        <d v="2022-08-12T00:00:00"/>
        <d v="2018-07-27T00:00:00"/>
        <d v="2024-01-29T00:00:00"/>
        <d v="2021-02-26T00:00:00"/>
        <d v="2024-02-23T00:00:00"/>
        <d v="2021-08-04T00:00:00"/>
        <d v="2021-04-03T00:00:00"/>
        <d v="2018-03-20T00:00:00"/>
        <d v="2023-08-17T00:00:00"/>
        <d v="2019-04-30T00:00:00"/>
        <d v="2024-06-13T00:00:00"/>
        <d v="2018-02-09T00:00:00"/>
        <d v="2023-02-07T00:00:00"/>
        <d v="2022-02-11T00:00:00"/>
        <d v="2021-10-15T00:00:00"/>
        <d v="2022-11-10T00:00:00"/>
        <d v="2021-01-10T00:00:00"/>
        <d v="2018-10-26T00:00:00"/>
        <d v="2021-07-14T00:00:00"/>
        <d v="2020-06-06T00:00:00"/>
        <d v="2022-05-30T00:00:00"/>
        <d v="2018-05-17T00:00:00"/>
        <d v="2019-03-19T00:00:00"/>
        <d v="2023-11-26T00:00:00"/>
        <d v="2020-01-22T00:00:00"/>
        <d v="2019-07-08T00:00:00"/>
        <d v="2023-09-01T00:00:00"/>
        <d v="2022-01-16T00:00:00"/>
        <d v="2023-03-21T00:00:00"/>
        <d v="2019-09-08T00:00:00"/>
        <d v="2023-12-25T00:00:00"/>
        <d v="2018-08-29T00:00:00"/>
        <d v="2020-07-28T00:00:00"/>
        <d v="2021-08-11T00:00:00"/>
        <d v="2024-05-10T00:00:00"/>
        <d v="2023-02-21T00:00:00"/>
        <d v="2020-06-15T00:00:00"/>
        <d v="2024-05-22T00:00:00"/>
        <d v="2019-02-17T00:00:00"/>
        <d v="2018-08-15T00:00:00"/>
        <d v="2019-02-23T00:00:00"/>
        <d v="2019-05-17T00:00:00"/>
        <d v="2021-07-04T00:00:00"/>
        <d v="2018-06-08T00:00:00"/>
        <d v="2021-12-19T00:00:00"/>
        <d v="2023-12-21T00:00:00"/>
        <d v="2021-07-12T00:00:00"/>
        <d v="2018-05-31T00:00:00"/>
        <d v="2022-01-24T00:00:00"/>
        <d v="2019-08-31T00:00:00"/>
        <d v="2020-01-06T00:00:00"/>
        <d v="2022-06-20T00:00:00"/>
        <d v="2021-02-06T00:00:00"/>
        <d v="2020-09-08T00:00:00"/>
        <d v="2020-08-20T00:00:00"/>
        <d v="2024-10-19T00:00:00"/>
        <d v="2020-09-02T00:00:00"/>
        <d v="2022-10-17T00:00:00"/>
        <d v="2023-06-28T00:00:00"/>
        <d v="2024-02-06T00:00:00"/>
        <d v="2024-04-11T00:00:00"/>
        <d v="2019-09-12T00:00:00"/>
        <d v="2019-09-24T00:00:00"/>
        <d v="2024-10-09T00:00:00"/>
        <d v="2020-04-17T00:00:00"/>
        <d v="2018-06-24T00:00:00"/>
        <d v="2020-07-16T00:00:00"/>
        <d v="2022-02-26T00:00:00"/>
        <d v="2023-05-14T00:00:00"/>
        <d v="2021-11-28T00:00:00"/>
        <d v="2020-08-15T00:00:00"/>
        <d v="2019-01-13T00:00:00"/>
        <d v="2024-09-21T00:00:00"/>
        <d v="2024-02-02T00:00:00"/>
        <d v="2018-03-02T00:00:00"/>
        <d v="2020-09-24T00:00:00"/>
        <d v="2024-05-30T00:00:00"/>
        <d v="2024-10-10T00:00:00"/>
        <d v="2018-09-29T00:00:00"/>
        <d v="2023-05-20T00:00:00"/>
        <d v="2018-06-23T00:00:00"/>
        <d v="2022-07-03T00:00:00"/>
        <d v="2022-05-10T00:00:00"/>
        <d v="2023-03-16T00:00:00"/>
        <d v="2019-06-30T00:00:00"/>
        <d v="2019-08-01T00:00:00"/>
        <d v="2020-09-20T00:00:00"/>
        <d v="2022-03-11T00:00:00"/>
        <d v="2019-04-28T00:00:00"/>
        <d v="2022-04-09T00:00:00"/>
        <d v="2023-06-19T00:00:00"/>
        <d v="2019-08-25T00:00:00"/>
        <d v="2018-12-08T00:00:00"/>
        <d v="2022-03-24T00:00:00"/>
        <d v="2021-03-09T00:00:00"/>
        <d v="2021-04-26T00:00:00"/>
        <d v="2024-07-11T00:00:00"/>
        <d v="2023-07-04T00:00:00"/>
        <d v="2024-02-12T00:00:00"/>
        <d v="2024-06-06T00:00:00"/>
        <d v="2024-02-18T00:00:00"/>
        <d v="2022-07-24T00:00:00"/>
        <d v="2022-03-19T00:00:00"/>
        <d v="2021-01-24T00:00:00"/>
        <d v="2021-04-15T00:00:00"/>
        <d v="2020-01-31T00:00:00"/>
        <d v="2024-04-04T00:00:00"/>
        <d v="2020-08-04T00:00:00"/>
        <d v="2020-10-15T00:00:00"/>
        <d v="2022-02-01T00:00:00"/>
        <d v="2023-02-14T00:00:00"/>
        <d v="2021-10-25T00:00:00"/>
        <d v="2022-07-29T00:00:00"/>
        <d v="2021-09-03T00:00:00"/>
        <d v="2019-12-08T00:00:00"/>
      </sharedItems>
      <fieldGroup par="18"/>
    </cacheField>
    <cacheField name="Month" numFmtId="0">
      <sharedItems containsSemiMixedTypes="0" containsString="0" containsNumber="1" containsInteger="1" minValue="1" maxValue="12"/>
    </cacheField>
    <cacheField name="Month_Name" numFmtId="0">
      <sharedItems/>
    </cacheField>
    <cacheField name="Salary_Band" numFmtId="0">
      <sharedItems count="3">
        <s v="High"/>
        <s v="Low"/>
        <s v="Medium"/>
      </sharedItems>
    </cacheField>
    <cacheField name="Months (Year)" numFmtId="0" databaseField="0">
      <fieldGroup base="12">
        <rangePr groupBy="months" startDate="2018-02-05T00:00:00" endDate="2024-11-03T00:00:00"/>
        <groupItems count="14">
          <s v="&lt;05-02-2018"/>
          <s v="Jan"/>
          <s v="Feb"/>
          <s v="Mar"/>
          <s v="Apr"/>
          <s v="May"/>
          <s v="Jun"/>
          <s v="Jul"/>
          <s v="Aug"/>
          <s v="Sep"/>
          <s v="Oct"/>
          <s v="Nov"/>
          <s v="Dec"/>
          <s v="&gt;03-11-2024"/>
        </groupItems>
      </fieldGroup>
    </cacheField>
    <cacheField name="Quarters (Year)" numFmtId="0" databaseField="0">
      <fieldGroup base="12">
        <rangePr groupBy="quarters" startDate="2018-02-05T00:00:00" endDate="2024-11-03T00:00:00"/>
        <groupItems count="6">
          <s v="&lt;05-02-2018"/>
          <s v="Qtr1"/>
          <s v="Qtr2"/>
          <s v="Qtr3"/>
          <s v="Qtr4"/>
          <s v="&gt;03-11-2024"/>
        </groupItems>
      </fieldGroup>
    </cacheField>
    <cacheField name="Years (Year)" numFmtId="0" databaseField="0">
      <fieldGroup base="12">
        <rangePr groupBy="years" startDate="2018-02-05T00:00:00" endDate="2024-11-03T00:00:00"/>
        <groupItems count="9">
          <s v="&lt;05-02-2018"/>
          <s v="2018"/>
          <s v="2019"/>
          <s v="2020"/>
          <s v="2021"/>
          <s v="2022"/>
          <s v="2023"/>
          <s v="2024"/>
          <s v="&gt;03-11-2024"/>
        </groupItems>
      </fieldGroup>
    </cacheField>
  </cacheFields>
  <extLst>
    <ext xmlns:x14="http://schemas.microsoft.com/office/spreadsheetml/2009/9/main" uri="{725AE2AE-9491-48be-B2B4-4EB974FC3084}">
      <x14:pivotCacheDefinition pivotCacheId="12290864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E001"/>
    <s v="Neha 59"/>
    <x v="0"/>
    <x v="0"/>
    <s v="Analyst"/>
    <d v="2020-11-03T00:00:00"/>
    <n v="76079"/>
    <x v="0"/>
    <n v="85.46"/>
    <n v="22"/>
    <x v="0"/>
    <x v="0"/>
    <x v="0"/>
    <n v="11"/>
    <s v="November"/>
    <x v="0"/>
  </r>
  <r>
    <s v="E002"/>
    <s v="Priya 29"/>
    <x v="0"/>
    <x v="1"/>
    <s v="Executive"/>
    <d v="2022-12-11T00:00:00"/>
    <n v="28981"/>
    <x v="1"/>
    <n v="94.46"/>
    <n v="2"/>
    <x v="0"/>
    <x v="1"/>
    <x v="1"/>
    <n v="12"/>
    <s v="December"/>
    <x v="1"/>
  </r>
  <r>
    <s v="E003"/>
    <s v="Rahul 72"/>
    <x v="0"/>
    <x v="2"/>
    <s v="Manager"/>
    <d v="2024-09-01T00:00:00"/>
    <n v="70926"/>
    <x v="2"/>
    <n v="94.21"/>
    <n v="38"/>
    <x v="0"/>
    <x v="2"/>
    <x v="2"/>
    <n v="9"/>
    <s v="September"/>
    <x v="0"/>
  </r>
  <r>
    <s v="E004"/>
    <s v="Anjali 63"/>
    <x v="0"/>
    <x v="3"/>
    <s v="Associate"/>
    <d v="2024-09-16T00:00:00"/>
    <n v="114846"/>
    <x v="3"/>
    <n v="85.31"/>
    <n v="2"/>
    <x v="1"/>
    <x v="3"/>
    <x v="3"/>
    <n v="9"/>
    <s v="September"/>
    <x v="0"/>
  </r>
  <r>
    <s v="E005"/>
    <s v="Vikram 14"/>
    <x v="0"/>
    <x v="0"/>
    <s v="Analyst"/>
    <d v="2023-08-23T00:00:00"/>
    <n v="84060"/>
    <x v="2"/>
    <n v="97.4"/>
    <n v="19"/>
    <x v="1"/>
    <x v="2"/>
    <x v="4"/>
    <n v="8"/>
    <s v="August"/>
    <x v="0"/>
  </r>
  <r>
    <s v="E006"/>
    <s v="Rohit 15"/>
    <x v="1"/>
    <x v="3"/>
    <s v="Executive"/>
    <d v="2022-09-18T00:00:00"/>
    <n v="58729"/>
    <x v="3"/>
    <n v="83.84"/>
    <n v="22"/>
    <x v="0"/>
    <x v="2"/>
    <x v="5"/>
    <n v="9"/>
    <s v="September"/>
    <x v="2"/>
  </r>
  <r>
    <s v="E007"/>
    <s v="Anjali 49"/>
    <x v="1"/>
    <x v="2"/>
    <s v="Associate"/>
    <d v="2022-11-27T00:00:00"/>
    <n v="117556"/>
    <x v="1"/>
    <n v="85.41"/>
    <n v="29"/>
    <x v="1"/>
    <x v="3"/>
    <x v="6"/>
    <n v="11"/>
    <s v="November"/>
    <x v="0"/>
  </r>
  <r>
    <s v="E008"/>
    <s v="Anjali 81"/>
    <x v="0"/>
    <x v="4"/>
    <s v="Manager"/>
    <d v="2018-05-05T00:00:00"/>
    <n v="83119"/>
    <x v="3"/>
    <n v="91.26"/>
    <n v="32"/>
    <x v="0"/>
    <x v="2"/>
    <x v="7"/>
    <n v="5"/>
    <s v="May"/>
    <x v="0"/>
  </r>
  <r>
    <s v="E009"/>
    <s v="Pooja 43"/>
    <x v="1"/>
    <x v="3"/>
    <s v="Manager"/>
    <d v="2023-07-17T00:00:00"/>
    <n v="48945"/>
    <x v="0"/>
    <n v="89.83"/>
    <n v="12"/>
    <x v="0"/>
    <x v="0"/>
    <x v="8"/>
    <n v="7"/>
    <s v="July"/>
    <x v="2"/>
  </r>
  <r>
    <s v="E010"/>
    <s v="Sneha 94"/>
    <x v="1"/>
    <x v="3"/>
    <s v="Manager"/>
    <d v="2018-08-25T00:00:00"/>
    <n v="63504"/>
    <x v="3"/>
    <n v="81.010000000000005"/>
    <n v="8"/>
    <x v="1"/>
    <x v="3"/>
    <x v="9"/>
    <n v="8"/>
    <s v="August"/>
    <x v="2"/>
  </r>
  <r>
    <s v="E011"/>
    <s v="Neha 22"/>
    <x v="0"/>
    <x v="4"/>
    <s v="Analyst"/>
    <d v="2023-09-27T00:00:00"/>
    <n v="104218"/>
    <x v="1"/>
    <n v="80"/>
    <n v="11"/>
    <x v="0"/>
    <x v="2"/>
    <x v="10"/>
    <n v="9"/>
    <s v="September"/>
    <x v="0"/>
  </r>
  <r>
    <s v="E012"/>
    <s v="Vikram 6"/>
    <x v="0"/>
    <x v="0"/>
    <s v="Analyst"/>
    <d v="2022-10-12T00:00:00"/>
    <n v="88493"/>
    <x v="3"/>
    <n v="77.14"/>
    <n v="8"/>
    <x v="0"/>
    <x v="3"/>
    <x v="11"/>
    <n v="10"/>
    <s v="October"/>
    <x v="0"/>
  </r>
  <r>
    <s v="E013"/>
    <s v="Arjun 84"/>
    <x v="0"/>
    <x v="3"/>
    <s v="Associate"/>
    <d v="2019-08-05T00:00:00"/>
    <n v="107613"/>
    <x v="4"/>
    <n v="91.15"/>
    <n v="4"/>
    <x v="0"/>
    <x v="3"/>
    <x v="12"/>
    <n v="8"/>
    <s v="August"/>
    <x v="0"/>
  </r>
  <r>
    <s v="E014"/>
    <s v="Pooja 15"/>
    <x v="0"/>
    <x v="4"/>
    <s v="Executive"/>
    <d v="2023-08-12T00:00:00"/>
    <n v="113903"/>
    <x v="2"/>
    <n v="82.4"/>
    <n v="7"/>
    <x v="0"/>
    <x v="3"/>
    <x v="13"/>
    <n v="8"/>
    <s v="August"/>
    <x v="0"/>
  </r>
  <r>
    <s v="E015"/>
    <s v="Rohit 11"/>
    <x v="0"/>
    <x v="0"/>
    <s v="Executive"/>
    <d v="2022-01-31T00:00:00"/>
    <n v="62897"/>
    <x v="1"/>
    <n v="84.95"/>
    <n v="36"/>
    <x v="0"/>
    <x v="1"/>
    <x v="14"/>
    <n v="1"/>
    <s v="January"/>
    <x v="2"/>
  </r>
  <r>
    <s v="E016"/>
    <s v="Amit 38"/>
    <x v="0"/>
    <x v="2"/>
    <s v="Analyst"/>
    <d v="2023-11-08T00:00:00"/>
    <n v="49685"/>
    <x v="3"/>
    <n v="78.680000000000007"/>
    <n v="19"/>
    <x v="0"/>
    <x v="1"/>
    <x v="15"/>
    <n v="11"/>
    <s v="November"/>
    <x v="2"/>
  </r>
  <r>
    <s v="E017"/>
    <s v="Rohit 28"/>
    <x v="1"/>
    <x v="4"/>
    <s v="Analyst"/>
    <d v="2020-07-22T00:00:00"/>
    <n v="26745"/>
    <x v="4"/>
    <n v="94.98"/>
    <n v="35"/>
    <x v="0"/>
    <x v="0"/>
    <x v="16"/>
    <n v="7"/>
    <s v="July"/>
    <x v="1"/>
  </r>
  <r>
    <s v="E018"/>
    <s v="Anjali 15"/>
    <x v="0"/>
    <x v="1"/>
    <s v="Executive"/>
    <d v="2018-04-16T00:00:00"/>
    <n v="44523"/>
    <x v="3"/>
    <n v="94.66"/>
    <n v="20"/>
    <x v="1"/>
    <x v="1"/>
    <x v="17"/>
    <n v="4"/>
    <s v="April"/>
    <x v="2"/>
  </r>
  <r>
    <s v="E019"/>
    <s v="Rohit 73"/>
    <x v="0"/>
    <x v="0"/>
    <s v="Executive"/>
    <d v="2023-07-06T00:00:00"/>
    <n v="54953"/>
    <x v="0"/>
    <n v="75.64"/>
    <n v="20"/>
    <x v="1"/>
    <x v="3"/>
    <x v="18"/>
    <n v="7"/>
    <s v="July"/>
    <x v="2"/>
  </r>
  <r>
    <s v="E020"/>
    <s v="Amit 41"/>
    <x v="1"/>
    <x v="2"/>
    <s v="Analyst"/>
    <d v="2020-07-13T00:00:00"/>
    <n v="41500"/>
    <x v="2"/>
    <n v="97.12"/>
    <n v="15"/>
    <x v="1"/>
    <x v="3"/>
    <x v="19"/>
    <n v="7"/>
    <s v="July"/>
    <x v="2"/>
  </r>
  <r>
    <s v="E021"/>
    <s v="Anjali 21"/>
    <x v="1"/>
    <x v="0"/>
    <s v="Executive"/>
    <d v="2024-11-02T00:00:00"/>
    <n v="49571"/>
    <x v="0"/>
    <n v="99.48"/>
    <n v="26"/>
    <x v="1"/>
    <x v="2"/>
    <x v="20"/>
    <n v="11"/>
    <s v="November"/>
    <x v="2"/>
  </r>
  <r>
    <s v="E022"/>
    <s v="Anjali 73"/>
    <x v="1"/>
    <x v="0"/>
    <s v="Analyst"/>
    <d v="2019-09-26T00:00:00"/>
    <n v="72070"/>
    <x v="3"/>
    <n v="95.81"/>
    <n v="26"/>
    <x v="1"/>
    <x v="0"/>
    <x v="21"/>
    <n v="9"/>
    <s v="September"/>
    <x v="0"/>
  </r>
  <r>
    <s v="E023"/>
    <s v="Amit 48"/>
    <x v="1"/>
    <x v="0"/>
    <s v="Analyst"/>
    <d v="2023-10-31T00:00:00"/>
    <n v="69794"/>
    <x v="0"/>
    <n v="94.98"/>
    <n v="29"/>
    <x v="0"/>
    <x v="3"/>
    <x v="22"/>
    <n v="10"/>
    <s v="October"/>
    <x v="2"/>
  </r>
  <r>
    <s v="E024"/>
    <s v="Anjali 72"/>
    <x v="0"/>
    <x v="2"/>
    <s v="Executive"/>
    <d v="2020-02-05T00:00:00"/>
    <n v="118263"/>
    <x v="1"/>
    <n v="88.05"/>
    <n v="0"/>
    <x v="1"/>
    <x v="3"/>
    <x v="23"/>
    <n v="2"/>
    <s v="February"/>
    <x v="0"/>
  </r>
  <r>
    <s v="E025"/>
    <s v="Pooja 65"/>
    <x v="1"/>
    <x v="0"/>
    <s v="Manager"/>
    <d v="2024-04-26T00:00:00"/>
    <n v="96686"/>
    <x v="3"/>
    <n v="92.55"/>
    <n v="11"/>
    <x v="0"/>
    <x v="1"/>
    <x v="24"/>
    <n v="4"/>
    <s v="April"/>
    <x v="0"/>
  </r>
  <r>
    <s v="E026"/>
    <s v="Priya 13"/>
    <x v="0"/>
    <x v="1"/>
    <s v="Manager"/>
    <d v="2022-11-15T00:00:00"/>
    <n v="66333"/>
    <x v="4"/>
    <n v="99.64"/>
    <n v="29"/>
    <x v="0"/>
    <x v="1"/>
    <x v="25"/>
    <n v="11"/>
    <s v="November"/>
    <x v="2"/>
  </r>
  <r>
    <s v="E027"/>
    <s v="Amit 54"/>
    <x v="1"/>
    <x v="0"/>
    <s v="Manager"/>
    <d v="2019-01-09T00:00:00"/>
    <n v="26341"/>
    <x v="4"/>
    <n v="76.17"/>
    <n v="35"/>
    <x v="1"/>
    <x v="1"/>
    <x v="26"/>
    <n v="1"/>
    <s v="January"/>
    <x v="1"/>
  </r>
  <r>
    <s v="E028"/>
    <s v="Arjun 23"/>
    <x v="1"/>
    <x v="0"/>
    <s v="Manager"/>
    <d v="2018-08-04T00:00:00"/>
    <n v="50873"/>
    <x v="3"/>
    <n v="93.26"/>
    <n v="21"/>
    <x v="0"/>
    <x v="3"/>
    <x v="27"/>
    <n v="8"/>
    <s v="August"/>
    <x v="2"/>
  </r>
  <r>
    <s v="E029"/>
    <s v="Arjun 98"/>
    <x v="1"/>
    <x v="0"/>
    <s v="Analyst"/>
    <d v="2024-06-22T00:00:00"/>
    <n v="69829"/>
    <x v="2"/>
    <n v="80.430000000000007"/>
    <n v="4"/>
    <x v="1"/>
    <x v="1"/>
    <x v="28"/>
    <n v="6"/>
    <s v="June"/>
    <x v="2"/>
  </r>
  <r>
    <s v="E030"/>
    <s v="Arjun 72"/>
    <x v="1"/>
    <x v="0"/>
    <s v="Analyst"/>
    <d v="2019-05-16T00:00:00"/>
    <n v="108500"/>
    <x v="0"/>
    <n v="80.12"/>
    <n v="30"/>
    <x v="1"/>
    <x v="3"/>
    <x v="29"/>
    <n v="5"/>
    <s v="May"/>
    <x v="0"/>
  </r>
  <r>
    <s v="E031"/>
    <s v="Rohit 85"/>
    <x v="0"/>
    <x v="1"/>
    <s v="Analyst"/>
    <d v="2018-02-05T00:00:00"/>
    <n v="79885"/>
    <x v="4"/>
    <n v="77.11"/>
    <n v="17"/>
    <x v="1"/>
    <x v="3"/>
    <x v="30"/>
    <n v="2"/>
    <s v="February"/>
    <x v="0"/>
  </r>
  <r>
    <s v="E032"/>
    <s v="Pooja 61"/>
    <x v="0"/>
    <x v="4"/>
    <s v="Executive"/>
    <d v="2023-06-21T00:00:00"/>
    <n v="69692"/>
    <x v="2"/>
    <n v="79.83"/>
    <n v="20"/>
    <x v="1"/>
    <x v="1"/>
    <x v="31"/>
    <n v="6"/>
    <s v="June"/>
    <x v="2"/>
  </r>
  <r>
    <s v="E033"/>
    <s v="Amit 4"/>
    <x v="0"/>
    <x v="2"/>
    <s v="Analyst"/>
    <d v="2021-09-09T00:00:00"/>
    <n v="90616"/>
    <x v="1"/>
    <n v="98.32"/>
    <n v="5"/>
    <x v="1"/>
    <x v="2"/>
    <x v="32"/>
    <n v="9"/>
    <s v="September"/>
    <x v="0"/>
  </r>
  <r>
    <s v="E034"/>
    <s v="Vikram 41"/>
    <x v="1"/>
    <x v="4"/>
    <s v="Analyst"/>
    <d v="2020-07-26T00:00:00"/>
    <n v="75405"/>
    <x v="2"/>
    <n v="89.32"/>
    <n v="11"/>
    <x v="1"/>
    <x v="3"/>
    <x v="33"/>
    <n v="7"/>
    <s v="July"/>
    <x v="0"/>
  </r>
  <r>
    <s v="E035"/>
    <s v="Arjun 73"/>
    <x v="1"/>
    <x v="2"/>
    <s v="Manager"/>
    <d v="2018-09-09T00:00:00"/>
    <n v="77883"/>
    <x v="0"/>
    <n v="94.13"/>
    <n v="25"/>
    <x v="0"/>
    <x v="3"/>
    <x v="34"/>
    <n v="9"/>
    <s v="September"/>
    <x v="0"/>
  </r>
  <r>
    <s v="E036"/>
    <s v="Amit 51"/>
    <x v="1"/>
    <x v="1"/>
    <s v="Executive"/>
    <d v="2022-02-07T00:00:00"/>
    <n v="66655"/>
    <x v="0"/>
    <n v="99.5"/>
    <n v="22"/>
    <x v="1"/>
    <x v="0"/>
    <x v="35"/>
    <n v="2"/>
    <s v="February"/>
    <x v="2"/>
  </r>
  <r>
    <s v="E037"/>
    <s v="Anjali 18"/>
    <x v="0"/>
    <x v="4"/>
    <s v="Manager"/>
    <d v="2022-08-10T00:00:00"/>
    <n v="89053"/>
    <x v="0"/>
    <n v="95.52"/>
    <n v="14"/>
    <x v="0"/>
    <x v="0"/>
    <x v="36"/>
    <n v="8"/>
    <s v="August"/>
    <x v="0"/>
  </r>
  <r>
    <s v="E038"/>
    <s v="Sneha 75"/>
    <x v="0"/>
    <x v="3"/>
    <s v="Associate"/>
    <d v="2021-07-27T00:00:00"/>
    <n v="50902"/>
    <x v="2"/>
    <n v="84.55"/>
    <n v="8"/>
    <x v="0"/>
    <x v="2"/>
    <x v="37"/>
    <n v="7"/>
    <s v="July"/>
    <x v="2"/>
  </r>
  <r>
    <s v="E039"/>
    <s v="Rahul 84"/>
    <x v="1"/>
    <x v="2"/>
    <s v="Executive"/>
    <d v="2021-10-02T00:00:00"/>
    <n v="92705"/>
    <x v="2"/>
    <n v="86.72"/>
    <n v="38"/>
    <x v="1"/>
    <x v="0"/>
    <x v="38"/>
    <n v="10"/>
    <s v="October"/>
    <x v="0"/>
  </r>
  <r>
    <s v="E040"/>
    <s v="Anjali 37"/>
    <x v="1"/>
    <x v="2"/>
    <s v="Manager"/>
    <d v="2021-03-31T00:00:00"/>
    <n v="49402"/>
    <x v="4"/>
    <n v="88.43"/>
    <n v="5"/>
    <x v="1"/>
    <x v="2"/>
    <x v="39"/>
    <n v="3"/>
    <s v="March"/>
    <x v="2"/>
  </r>
  <r>
    <s v="E041"/>
    <s v="Priya 4"/>
    <x v="1"/>
    <x v="3"/>
    <s v="Executive"/>
    <d v="2019-12-05T00:00:00"/>
    <n v="66050"/>
    <x v="2"/>
    <n v="99.47"/>
    <n v="29"/>
    <x v="0"/>
    <x v="0"/>
    <x v="40"/>
    <n v="12"/>
    <s v="December"/>
    <x v="2"/>
  </r>
  <r>
    <s v="E042"/>
    <s v="Neha 67"/>
    <x v="1"/>
    <x v="2"/>
    <s v="Analyst"/>
    <d v="2020-10-22T00:00:00"/>
    <n v="35776"/>
    <x v="4"/>
    <n v="82.67"/>
    <n v="20"/>
    <x v="0"/>
    <x v="3"/>
    <x v="41"/>
    <n v="10"/>
    <s v="October"/>
    <x v="1"/>
  </r>
  <r>
    <s v="E043"/>
    <s v="Sneha 57"/>
    <x v="1"/>
    <x v="3"/>
    <s v="Analyst"/>
    <d v="2023-06-07T00:00:00"/>
    <n v="50714"/>
    <x v="4"/>
    <n v="95.03"/>
    <n v="32"/>
    <x v="0"/>
    <x v="0"/>
    <x v="42"/>
    <n v="6"/>
    <s v="June"/>
    <x v="2"/>
  </r>
  <r>
    <s v="E044"/>
    <s v="Vikram 20"/>
    <x v="1"/>
    <x v="4"/>
    <s v="Associate"/>
    <d v="2018-03-23T00:00:00"/>
    <n v="80040"/>
    <x v="1"/>
    <n v="94.01"/>
    <n v="37"/>
    <x v="0"/>
    <x v="2"/>
    <x v="43"/>
    <n v="3"/>
    <s v="March"/>
    <x v="0"/>
  </r>
  <r>
    <s v="E045"/>
    <s v="Rahul 53"/>
    <x v="1"/>
    <x v="3"/>
    <s v="Manager"/>
    <d v="2022-01-10T00:00:00"/>
    <n v="86449"/>
    <x v="0"/>
    <n v="90.56"/>
    <n v="25"/>
    <x v="0"/>
    <x v="1"/>
    <x v="44"/>
    <n v="1"/>
    <s v="January"/>
    <x v="0"/>
  </r>
  <r>
    <s v="E046"/>
    <s v="Neha 31"/>
    <x v="1"/>
    <x v="0"/>
    <s v="Associate"/>
    <d v="2023-10-06T00:00:00"/>
    <n v="84862"/>
    <x v="4"/>
    <n v="78.92"/>
    <n v="11"/>
    <x v="1"/>
    <x v="3"/>
    <x v="45"/>
    <n v="10"/>
    <s v="October"/>
    <x v="0"/>
  </r>
  <r>
    <s v="E047"/>
    <s v="Amit 69"/>
    <x v="0"/>
    <x v="2"/>
    <s v="Associate"/>
    <d v="2023-05-27T00:00:00"/>
    <n v="68595"/>
    <x v="4"/>
    <n v="98.99"/>
    <n v="9"/>
    <x v="0"/>
    <x v="2"/>
    <x v="46"/>
    <n v="5"/>
    <s v="May"/>
    <x v="2"/>
  </r>
  <r>
    <s v="E048"/>
    <s v="Pooja 44"/>
    <x v="0"/>
    <x v="1"/>
    <s v="Associate"/>
    <d v="2018-06-22T00:00:00"/>
    <n v="95470"/>
    <x v="2"/>
    <n v="85.26"/>
    <n v="30"/>
    <x v="0"/>
    <x v="0"/>
    <x v="47"/>
    <n v="6"/>
    <s v="June"/>
    <x v="0"/>
  </r>
  <r>
    <s v="E049"/>
    <s v="Amit 27"/>
    <x v="0"/>
    <x v="0"/>
    <s v="Manager"/>
    <d v="2019-11-26T00:00:00"/>
    <n v="74436"/>
    <x v="2"/>
    <n v="76.53"/>
    <n v="37"/>
    <x v="0"/>
    <x v="3"/>
    <x v="48"/>
    <n v="11"/>
    <s v="November"/>
    <x v="0"/>
  </r>
  <r>
    <s v="E050"/>
    <s v="Anjali 67"/>
    <x v="1"/>
    <x v="0"/>
    <s v="Manager"/>
    <d v="2020-02-10T00:00:00"/>
    <n v="51014"/>
    <x v="0"/>
    <n v="83.15"/>
    <n v="7"/>
    <x v="1"/>
    <x v="3"/>
    <x v="49"/>
    <n v="2"/>
    <s v="February"/>
    <x v="2"/>
  </r>
  <r>
    <s v="E051"/>
    <s v="Vikram 27"/>
    <x v="0"/>
    <x v="3"/>
    <s v="Associate"/>
    <d v="2020-02-13T00:00:00"/>
    <n v="76130"/>
    <x v="3"/>
    <n v="96.06"/>
    <n v="38"/>
    <x v="1"/>
    <x v="2"/>
    <x v="50"/>
    <n v="2"/>
    <s v="February"/>
    <x v="0"/>
  </r>
  <r>
    <s v="E052"/>
    <s v="Pooja 8"/>
    <x v="0"/>
    <x v="2"/>
    <s v="Manager"/>
    <d v="2020-07-30T00:00:00"/>
    <n v="100761"/>
    <x v="2"/>
    <n v="80.48"/>
    <n v="27"/>
    <x v="1"/>
    <x v="0"/>
    <x v="51"/>
    <n v="7"/>
    <s v="July"/>
    <x v="0"/>
  </r>
  <r>
    <s v="E053"/>
    <s v="Anjali 27"/>
    <x v="1"/>
    <x v="2"/>
    <s v="Executive"/>
    <d v="2024-09-16T00:00:00"/>
    <n v="115599"/>
    <x v="1"/>
    <n v="88.01"/>
    <n v="38"/>
    <x v="1"/>
    <x v="1"/>
    <x v="3"/>
    <n v="9"/>
    <s v="September"/>
    <x v="0"/>
  </r>
  <r>
    <s v="E054"/>
    <s v="Vikram 56"/>
    <x v="0"/>
    <x v="1"/>
    <s v="Analyst"/>
    <d v="2021-06-17T00:00:00"/>
    <n v="105490"/>
    <x v="2"/>
    <n v="87.66"/>
    <n v="10"/>
    <x v="0"/>
    <x v="1"/>
    <x v="52"/>
    <n v="6"/>
    <s v="June"/>
    <x v="0"/>
  </r>
  <r>
    <s v="E055"/>
    <s v="Rahul 83"/>
    <x v="1"/>
    <x v="0"/>
    <s v="Manager"/>
    <d v="2022-08-15T00:00:00"/>
    <n v="112750"/>
    <x v="2"/>
    <n v="94.48"/>
    <n v="20"/>
    <x v="0"/>
    <x v="0"/>
    <x v="53"/>
    <n v="8"/>
    <s v="August"/>
    <x v="0"/>
  </r>
  <r>
    <s v="E056"/>
    <s v="Neha 60"/>
    <x v="1"/>
    <x v="3"/>
    <s v="Executive"/>
    <d v="2023-01-14T00:00:00"/>
    <n v="102862"/>
    <x v="1"/>
    <n v="98.71"/>
    <n v="29"/>
    <x v="0"/>
    <x v="2"/>
    <x v="54"/>
    <n v="1"/>
    <s v="January"/>
    <x v="0"/>
  </r>
  <r>
    <s v="E057"/>
    <s v="Amit 8"/>
    <x v="1"/>
    <x v="2"/>
    <s v="Analyst"/>
    <d v="2021-07-11T00:00:00"/>
    <n v="73611"/>
    <x v="3"/>
    <n v="87.73"/>
    <n v="13"/>
    <x v="1"/>
    <x v="2"/>
    <x v="55"/>
    <n v="7"/>
    <s v="July"/>
    <x v="0"/>
  </r>
  <r>
    <s v="E058"/>
    <s v="Priya 74"/>
    <x v="0"/>
    <x v="2"/>
    <s v="Associate"/>
    <d v="2020-08-26T00:00:00"/>
    <n v="89329"/>
    <x v="4"/>
    <n v="78.94"/>
    <n v="34"/>
    <x v="0"/>
    <x v="2"/>
    <x v="56"/>
    <n v="8"/>
    <s v="August"/>
    <x v="0"/>
  </r>
  <r>
    <s v="E059"/>
    <s v="Neha 8"/>
    <x v="1"/>
    <x v="4"/>
    <s v="Executive"/>
    <d v="2019-10-09T00:00:00"/>
    <n v="39715"/>
    <x v="0"/>
    <n v="96.1"/>
    <n v="5"/>
    <x v="0"/>
    <x v="1"/>
    <x v="57"/>
    <n v="10"/>
    <s v="October"/>
    <x v="1"/>
  </r>
  <r>
    <s v="E060"/>
    <s v="Pooja 38"/>
    <x v="0"/>
    <x v="2"/>
    <s v="Analyst"/>
    <d v="2023-09-07T00:00:00"/>
    <n v="36731"/>
    <x v="4"/>
    <n v="78.45"/>
    <n v="34"/>
    <x v="1"/>
    <x v="0"/>
    <x v="58"/>
    <n v="9"/>
    <s v="September"/>
    <x v="1"/>
  </r>
  <r>
    <s v="E061"/>
    <s v="Rahul 67"/>
    <x v="1"/>
    <x v="2"/>
    <s v="Manager"/>
    <d v="2023-05-25T00:00:00"/>
    <n v="70898"/>
    <x v="3"/>
    <n v="89.35"/>
    <n v="6"/>
    <x v="0"/>
    <x v="3"/>
    <x v="59"/>
    <n v="5"/>
    <s v="May"/>
    <x v="0"/>
  </r>
  <r>
    <s v="E062"/>
    <s v="Anjali 76"/>
    <x v="0"/>
    <x v="1"/>
    <s v="Associate"/>
    <d v="2024-06-02T00:00:00"/>
    <n v="43820"/>
    <x v="3"/>
    <n v="97.3"/>
    <n v="14"/>
    <x v="0"/>
    <x v="1"/>
    <x v="60"/>
    <n v="6"/>
    <s v="June"/>
    <x v="2"/>
  </r>
  <r>
    <s v="E063"/>
    <s v="Anjali 15"/>
    <x v="1"/>
    <x v="1"/>
    <s v="Analyst"/>
    <d v="2024-08-13T00:00:00"/>
    <n v="49002"/>
    <x v="1"/>
    <n v="99.89"/>
    <n v="22"/>
    <x v="0"/>
    <x v="3"/>
    <x v="61"/>
    <n v="8"/>
    <s v="August"/>
    <x v="2"/>
  </r>
  <r>
    <s v="E064"/>
    <s v="Arjun 19"/>
    <x v="1"/>
    <x v="1"/>
    <s v="Associate"/>
    <d v="2021-02-01T00:00:00"/>
    <n v="32090"/>
    <x v="1"/>
    <n v="79.44"/>
    <n v="3"/>
    <x v="0"/>
    <x v="0"/>
    <x v="62"/>
    <n v="2"/>
    <s v="February"/>
    <x v="1"/>
  </r>
  <r>
    <s v="E065"/>
    <s v="Anjali 7"/>
    <x v="0"/>
    <x v="1"/>
    <s v="Executive"/>
    <d v="2022-07-17T00:00:00"/>
    <n v="40435"/>
    <x v="2"/>
    <n v="78.77"/>
    <n v="6"/>
    <x v="1"/>
    <x v="3"/>
    <x v="63"/>
    <n v="7"/>
    <s v="July"/>
    <x v="2"/>
  </r>
  <r>
    <s v="E066"/>
    <s v="Amit 38"/>
    <x v="1"/>
    <x v="3"/>
    <s v="Associate"/>
    <d v="2021-10-16T00:00:00"/>
    <n v="100918"/>
    <x v="4"/>
    <n v="89.71"/>
    <n v="15"/>
    <x v="1"/>
    <x v="3"/>
    <x v="64"/>
    <n v="10"/>
    <s v="October"/>
    <x v="0"/>
  </r>
  <r>
    <s v="E067"/>
    <s v="Neha 39"/>
    <x v="1"/>
    <x v="2"/>
    <s v="Analyst"/>
    <d v="2022-11-23T00:00:00"/>
    <n v="86741"/>
    <x v="0"/>
    <n v="90.33"/>
    <n v="26"/>
    <x v="1"/>
    <x v="2"/>
    <x v="65"/>
    <n v="11"/>
    <s v="November"/>
    <x v="0"/>
  </r>
  <r>
    <s v="E068"/>
    <s v="Arjun 76"/>
    <x v="0"/>
    <x v="4"/>
    <s v="Analyst"/>
    <d v="2018-05-22T00:00:00"/>
    <n v="111120"/>
    <x v="0"/>
    <n v="97.61"/>
    <n v="15"/>
    <x v="0"/>
    <x v="2"/>
    <x v="66"/>
    <n v="5"/>
    <s v="May"/>
    <x v="0"/>
  </r>
  <r>
    <s v="E069"/>
    <s v="Anjali 51"/>
    <x v="1"/>
    <x v="4"/>
    <s v="Analyst"/>
    <d v="2024-06-27T00:00:00"/>
    <n v="89727"/>
    <x v="0"/>
    <n v="83.08"/>
    <n v="38"/>
    <x v="0"/>
    <x v="3"/>
    <x v="67"/>
    <n v="6"/>
    <s v="June"/>
    <x v="0"/>
  </r>
  <r>
    <s v="E070"/>
    <s v="Amit 26"/>
    <x v="1"/>
    <x v="2"/>
    <s v="Analyst"/>
    <d v="2018-02-24T00:00:00"/>
    <n v="108346"/>
    <x v="3"/>
    <n v="82.52"/>
    <n v="35"/>
    <x v="1"/>
    <x v="1"/>
    <x v="68"/>
    <n v="2"/>
    <s v="February"/>
    <x v="0"/>
  </r>
  <r>
    <s v="E071"/>
    <s v="Sneha 57"/>
    <x v="0"/>
    <x v="3"/>
    <s v="Executive"/>
    <d v="2020-02-05T00:00:00"/>
    <n v="47664"/>
    <x v="0"/>
    <n v="88.16"/>
    <n v="38"/>
    <x v="0"/>
    <x v="0"/>
    <x v="23"/>
    <n v="2"/>
    <s v="February"/>
    <x v="2"/>
  </r>
  <r>
    <s v="E072"/>
    <s v="Neha 13"/>
    <x v="1"/>
    <x v="4"/>
    <s v="Analyst"/>
    <d v="2020-06-19T00:00:00"/>
    <n v="71538"/>
    <x v="1"/>
    <n v="79.38"/>
    <n v="9"/>
    <x v="1"/>
    <x v="1"/>
    <x v="69"/>
    <n v="6"/>
    <s v="June"/>
    <x v="0"/>
  </r>
  <r>
    <s v="E073"/>
    <s v="Neha 74"/>
    <x v="0"/>
    <x v="4"/>
    <s v="Associate"/>
    <d v="2020-12-21T00:00:00"/>
    <n v="74756"/>
    <x v="4"/>
    <n v="87.98"/>
    <n v="16"/>
    <x v="0"/>
    <x v="3"/>
    <x v="70"/>
    <n v="12"/>
    <s v="December"/>
    <x v="0"/>
  </r>
  <r>
    <s v="E074"/>
    <s v="Anjali 44"/>
    <x v="1"/>
    <x v="2"/>
    <s v="Executive"/>
    <d v="2019-05-03T00:00:00"/>
    <n v="80239"/>
    <x v="1"/>
    <n v="84.24"/>
    <n v="5"/>
    <x v="0"/>
    <x v="2"/>
    <x v="71"/>
    <n v="5"/>
    <s v="May"/>
    <x v="0"/>
  </r>
  <r>
    <s v="E075"/>
    <s v="Priya 52"/>
    <x v="1"/>
    <x v="1"/>
    <s v="Executive"/>
    <d v="2019-08-17T00:00:00"/>
    <n v="44862"/>
    <x v="3"/>
    <n v="90.33"/>
    <n v="27"/>
    <x v="1"/>
    <x v="0"/>
    <x v="72"/>
    <n v="8"/>
    <s v="August"/>
    <x v="2"/>
  </r>
  <r>
    <s v="E076"/>
    <s v="Rohit 57"/>
    <x v="0"/>
    <x v="0"/>
    <s v="Executive"/>
    <d v="2018-02-27T00:00:00"/>
    <n v="91883"/>
    <x v="3"/>
    <n v="84.4"/>
    <n v="16"/>
    <x v="1"/>
    <x v="3"/>
    <x v="73"/>
    <n v="2"/>
    <s v="February"/>
    <x v="0"/>
  </r>
  <r>
    <s v="E077"/>
    <s v="Rohit 62"/>
    <x v="1"/>
    <x v="4"/>
    <s v="Executive"/>
    <d v="2021-10-29T00:00:00"/>
    <n v="99746"/>
    <x v="3"/>
    <n v="95.32"/>
    <n v="34"/>
    <x v="1"/>
    <x v="3"/>
    <x v="74"/>
    <n v="10"/>
    <s v="October"/>
    <x v="0"/>
  </r>
  <r>
    <s v="E078"/>
    <s v="Amit 4"/>
    <x v="1"/>
    <x v="2"/>
    <s v="Executive"/>
    <d v="2022-08-03T00:00:00"/>
    <n v="63459"/>
    <x v="1"/>
    <n v="95.7"/>
    <n v="29"/>
    <x v="1"/>
    <x v="2"/>
    <x v="75"/>
    <n v="8"/>
    <s v="August"/>
    <x v="2"/>
  </r>
  <r>
    <s v="E079"/>
    <s v="Rahul 37"/>
    <x v="1"/>
    <x v="1"/>
    <s v="Executive"/>
    <d v="2019-04-03T00:00:00"/>
    <n v="72946"/>
    <x v="2"/>
    <n v="92.86"/>
    <n v="20"/>
    <x v="1"/>
    <x v="3"/>
    <x v="76"/>
    <n v="4"/>
    <s v="April"/>
    <x v="0"/>
  </r>
  <r>
    <s v="E080"/>
    <s v="Sneha 64"/>
    <x v="0"/>
    <x v="0"/>
    <s v="Executive"/>
    <d v="2022-08-12T00:00:00"/>
    <n v="68537"/>
    <x v="1"/>
    <n v="78.599999999999994"/>
    <n v="20"/>
    <x v="1"/>
    <x v="0"/>
    <x v="77"/>
    <n v="8"/>
    <s v="August"/>
    <x v="2"/>
  </r>
  <r>
    <s v="E081"/>
    <s v="Pooja 25"/>
    <x v="1"/>
    <x v="0"/>
    <s v="Executive"/>
    <d v="2018-07-27T00:00:00"/>
    <n v="66004"/>
    <x v="2"/>
    <n v="79.95"/>
    <n v="24"/>
    <x v="1"/>
    <x v="2"/>
    <x v="78"/>
    <n v="7"/>
    <s v="July"/>
    <x v="2"/>
  </r>
  <r>
    <s v="E082"/>
    <s v="Vikram 97"/>
    <x v="0"/>
    <x v="4"/>
    <s v="Executive"/>
    <d v="2024-01-29T00:00:00"/>
    <n v="55412"/>
    <x v="4"/>
    <n v="81.31"/>
    <n v="36"/>
    <x v="0"/>
    <x v="0"/>
    <x v="79"/>
    <n v="1"/>
    <s v="January"/>
    <x v="2"/>
  </r>
  <r>
    <s v="E083"/>
    <s v="Rohit 21"/>
    <x v="1"/>
    <x v="3"/>
    <s v="Analyst"/>
    <d v="2021-02-26T00:00:00"/>
    <n v="46790"/>
    <x v="1"/>
    <n v="94.83"/>
    <n v="5"/>
    <x v="0"/>
    <x v="3"/>
    <x v="80"/>
    <n v="2"/>
    <s v="February"/>
    <x v="2"/>
  </r>
  <r>
    <s v="E084"/>
    <s v="Anjali 6"/>
    <x v="1"/>
    <x v="0"/>
    <s v="Analyst"/>
    <d v="2024-02-23T00:00:00"/>
    <n v="92216"/>
    <x v="3"/>
    <n v="90.59"/>
    <n v="30"/>
    <x v="1"/>
    <x v="3"/>
    <x v="81"/>
    <n v="2"/>
    <s v="February"/>
    <x v="0"/>
  </r>
  <r>
    <s v="E085"/>
    <s v="Vikram 22"/>
    <x v="0"/>
    <x v="1"/>
    <s v="Executive"/>
    <d v="2021-08-04T00:00:00"/>
    <n v="60717"/>
    <x v="3"/>
    <n v="93.95"/>
    <n v="13"/>
    <x v="0"/>
    <x v="0"/>
    <x v="82"/>
    <n v="8"/>
    <s v="August"/>
    <x v="2"/>
  </r>
  <r>
    <s v="E086"/>
    <s v="Pooja 49"/>
    <x v="1"/>
    <x v="2"/>
    <s v="Associate"/>
    <d v="2021-04-03T00:00:00"/>
    <n v="110001"/>
    <x v="1"/>
    <n v="91.68"/>
    <n v="29"/>
    <x v="1"/>
    <x v="1"/>
    <x v="83"/>
    <n v="4"/>
    <s v="April"/>
    <x v="0"/>
  </r>
  <r>
    <s v="E087"/>
    <s v="Rohit 5"/>
    <x v="0"/>
    <x v="0"/>
    <s v="Associate"/>
    <d v="2018-03-20T00:00:00"/>
    <n v="111868"/>
    <x v="1"/>
    <n v="86.67"/>
    <n v="7"/>
    <x v="1"/>
    <x v="2"/>
    <x v="84"/>
    <n v="3"/>
    <s v="March"/>
    <x v="0"/>
  </r>
  <r>
    <s v="E088"/>
    <s v="Arjun 16"/>
    <x v="1"/>
    <x v="3"/>
    <s v="Executive"/>
    <d v="2023-08-17T00:00:00"/>
    <n v="39904"/>
    <x v="3"/>
    <n v="90.43"/>
    <n v="16"/>
    <x v="1"/>
    <x v="2"/>
    <x v="85"/>
    <n v="8"/>
    <s v="August"/>
    <x v="1"/>
  </r>
  <r>
    <s v="E089"/>
    <s v="Sneha 38"/>
    <x v="0"/>
    <x v="2"/>
    <s v="Executive"/>
    <d v="2019-04-30T00:00:00"/>
    <n v="32931"/>
    <x v="3"/>
    <n v="77.95"/>
    <n v="10"/>
    <x v="0"/>
    <x v="0"/>
    <x v="86"/>
    <n v="4"/>
    <s v="April"/>
    <x v="1"/>
  </r>
  <r>
    <s v="E090"/>
    <s v="Pooja 53"/>
    <x v="0"/>
    <x v="3"/>
    <s v="Executive"/>
    <d v="2024-06-13T00:00:00"/>
    <n v="108431"/>
    <x v="0"/>
    <n v="85.54"/>
    <n v="17"/>
    <x v="1"/>
    <x v="0"/>
    <x v="87"/>
    <n v="6"/>
    <s v="June"/>
    <x v="0"/>
  </r>
  <r>
    <s v="E091"/>
    <s v="Sneha 52"/>
    <x v="1"/>
    <x v="2"/>
    <s v="Executive"/>
    <d v="2018-02-09T00:00:00"/>
    <n v="32357"/>
    <x v="3"/>
    <n v="89.93"/>
    <n v="32"/>
    <x v="0"/>
    <x v="3"/>
    <x v="88"/>
    <n v="2"/>
    <s v="February"/>
    <x v="1"/>
  </r>
  <r>
    <s v="E092"/>
    <s v="Rahul 67"/>
    <x v="0"/>
    <x v="2"/>
    <s v="Associate"/>
    <d v="2023-02-07T00:00:00"/>
    <n v="94894"/>
    <x v="4"/>
    <n v="86.12"/>
    <n v="31"/>
    <x v="1"/>
    <x v="1"/>
    <x v="89"/>
    <n v="2"/>
    <s v="February"/>
    <x v="0"/>
  </r>
  <r>
    <s v="E093"/>
    <s v="Rahul 62"/>
    <x v="0"/>
    <x v="0"/>
    <s v="Executive"/>
    <d v="2023-07-17T00:00:00"/>
    <n v="83087"/>
    <x v="4"/>
    <n v="85.06"/>
    <n v="20"/>
    <x v="0"/>
    <x v="3"/>
    <x v="8"/>
    <n v="7"/>
    <s v="July"/>
    <x v="0"/>
  </r>
  <r>
    <s v="E094"/>
    <s v="Priya 53"/>
    <x v="1"/>
    <x v="0"/>
    <s v="Analyst"/>
    <d v="2022-02-11T00:00:00"/>
    <n v="33157"/>
    <x v="0"/>
    <n v="89.17"/>
    <n v="24"/>
    <x v="0"/>
    <x v="3"/>
    <x v="90"/>
    <n v="2"/>
    <s v="February"/>
    <x v="1"/>
  </r>
  <r>
    <s v="E095"/>
    <s v="Priya 32"/>
    <x v="0"/>
    <x v="4"/>
    <s v="Associate"/>
    <d v="2019-09-26T00:00:00"/>
    <n v="47171"/>
    <x v="1"/>
    <n v="82.96"/>
    <n v="27"/>
    <x v="0"/>
    <x v="1"/>
    <x v="21"/>
    <n v="9"/>
    <s v="September"/>
    <x v="2"/>
  </r>
  <r>
    <s v="E096"/>
    <s v="Rohit 53"/>
    <x v="0"/>
    <x v="2"/>
    <s v="Manager"/>
    <d v="2021-10-15T00:00:00"/>
    <n v="119785"/>
    <x v="2"/>
    <n v="88.08"/>
    <n v="5"/>
    <x v="0"/>
    <x v="3"/>
    <x v="91"/>
    <n v="10"/>
    <s v="October"/>
    <x v="0"/>
  </r>
  <r>
    <s v="E097"/>
    <s v="Vikram 94"/>
    <x v="1"/>
    <x v="1"/>
    <s v="Associate"/>
    <d v="2022-11-10T00:00:00"/>
    <n v="58285"/>
    <x v="0"/>
    <n v="99.28"/>
    <n v="22"/>
    <x v="0"/>
    <x v="1"/>
    <x v="92"/>
    <n v="11"/>
    <s v="November"/>
    <x v="2"/>
  </r>
  <r>
    <s v="E098"/>
    <s v="Vikram 47"/>
    <x v="1"/>
    <x v="0"/>
    <s v="Analyst"/>
    <d v="2021-01-10T00:00:00"/>
    <n v="58367"/>
    <x v="3"/>
    <n v="84.16"/>
    <n v="3"/>
    <x v="0"/>
    <x v="2"/>
    <x v="93"/>
    <n v="1"/>
    <s v="January"/>
    <x v="2"/>
  </r>
  <r>
    <s v="E099"/>
    <s v="Anjali 82"/>
    <x v="1"/>
    <x v="4"/>
    <s v="Analyst"/>
    <d v="2018-10-26T00:00:00"/>
    <n v="102935"/>
    <x v="1"/>
    <n v="86.38"/>
    <n v="39"/>
    <x v="1"/>
    <x v="3"/>
    <x v="94"/>
    <n v="10"/>
    <s v="October"/>
    <x v="0"/>
  </r>
  <r>
    <s v="E100"/>
    <s v="Anjali 28"/>
    <x v="0"/>
    <x v="3"/>
    <s v="Analyst"/>
    <d v="2021-07-14T00:00:00"/>
    <n v="62622"/>
    <x v="4"/>
    <n v="96.92"/>
    <n v="15"/>
    <x v="0"/>
    <x v="0"/>
    <x v="95"/>
    <n v="7"/>
    <s v="July"/>
    <x v="2"/>
  </r>
  <r>
    <s v="E101"/>
    <s v="Rahul 48"/>
    <x v="1"/>
    <x v="2"/>
    <s v="Analyst"/>
    <d v="2020-06-06T00:00:00"/>
    <n v="115146"/>
    <x v="2"/>
    <n v="93.29"/>
    <n v="29"/>
    <x v="0"/>
    <x v="3"/>
    <x v="96"/>
    <n v="6"/>
    <s v="June"/>
    <x v="0"/>
  </r>
  <r>
    <s v="E102"/>
    <s v="Anjali 13"/>
    <x v="1"/>
    <x v="4"/>
    <s v="Associate"/>
    <d v="2022-05-30T00:00:00"/>
    <n v="60553"/>
    <x v="4"/>
    <n v="85.22"/>
    <n v="6"/>
    <x v="0"/>
    <x v="1"/>
    <x v="97"/>
    <n v="5"/>
    <s v="May"/>
    <x v="2"/>
  </r>
  <r>
    <s v="E103"/>
    <s v="Rohit 89"/>
    <x v="0"/>
    <x v="0"/>
    <s v="Manager"/>
    <d v="2018-05-17T00:00:00"/>
    <n v="112340"/>
    <x v="4"/>
    <n v="75.459999999999994"/>
    <n v="3"/>
    <x v="0"/>
    <x v="0"/>
    <x v="98"/>
    <n v="5"/>
    <s v="May"/>
    <x v="0"/>
  </r>
  <r>
    <s v="E104"/>
    <s v="Arjun 22"/>
    <x v="1"/>
    <x v="0"/>
    <s v="Associate"/>
    <d v="2019-03-19T00:00:00"/>
    <n v="99281"/>
    <x v="1"/>
    <n v="96.45"/>
    <n v="15"/>
    <x v="0"/>
    <x v="1"/>
    <x v="99"/>
    <n v="3"/>
    <s v="March"/>
    <x v="0"/>
  </r>
  <r>
    <s v="E105"/>
    <s v="Amit 44"/>
    <x v="1"/>
    <x v="4"/>
    <s v="Analyst"/>
    <d v="2023-11-26T00:00:00"/>
    <n v="64162"/>
    <x v="1"/>
    <n v="92.99"/>
    <n v="9"/>
    <x v="0"/>
    <x v="2"/>
    <x v="100"/>
    <n v="11"/>
    <s v="November"/>
    <x v="2"/>
  </r>
  <r>
    <s v="E106"/>
    <s v="Rohit 48"/>
    <x v="0"/>
    <x v="3"/>
    <s v="Executive"/>
    <d v="2020-01-22T00:00:00"/>
    <n v="32152"/>
    <x v="3"/>
    <n v="76.19"/>
    <n v="28"/>
    <x v="0"/>
    <x v="0"/>
    <x v="101"/>
    <n v="1"/>
    <s v="January"/>
    <x v="1"/>
  </r>
  <r>
    <s v="E107"/>
    <s v="Rahul 19"/>
    <x v="1"/>
    <x v="3"/>
    <s v="Associate"/>
    <d v="2019-07-08T00:00:00"/>
    <n v="71687"/>
    <x v="3"/>
    <n v="87.27"/>
    <n v="12"/>
    <x v="0"/>
    <x v="3"/>
    <x v="102"/>
    <n v="7"/>
    <s v="July"/>
    <x v="0"/>
  </r>
  <r>
    <s v="E108"/>
    <s v="Vikram 59"/>
    <x v="1"/>
    <x v="3"/>
    <s v="Manager"/>
    <d v="2023-09-01T00:00:00"/>
    <n v="44572"/>
    <x v="3"/>
    <n v="89.81"/>
    <n v="37"/>
    <x v="1"/>
    <x v="0"/>
    <x v="103"/>
    <n v="9"/>
    <s v="September"/>
    <x v="2"/>
  </r>
  <r>
    <s v="E109"/>
    <s v="Sneha 61"/>
    <x v="0"/>
    <x v="4"/>
    <s v="Associate"/>
    <d v="2022-01-16T00:00:00"/>
    <n v="78110"/>
    <x v="3"/>
    <n v="82.83"/>
    <n v="24"/>
    <x v="1"/>
    <x v="2"/>
    <x v="104"/>
    <n v="1"/>
    <s v="January"/>
    <x v="0"/>
  </r>
  <r>
    <s v="E110"/>
    <s v="Sneha 38"/>
    <x v="0"/>
    <x v="3"/>
    <s v="Manager"/>
    <d v="2023-03-21T00:00:00"/>
    <n v="45292"/>
    <x v="2"/>
    <n v="94.53"/>
    <n v="3"/>
    <x v="0"/>
    <x v="3"/>
    <x v="105"/>
    <n v="3"/>
    <s v="March"/>
    <x v="2"/>
  </r>
  <r>
    <s v="E111"/>
    <s v="Vikram 48"/>
    <x v="1"/>
    <x v="1"/>
    <s v="Executive"/>
    <d v="2019-09-08T00:00:00"/>
    <n v="44003"/>
    <x v="3"/>
    <n v="95.47"/>
    <n v="25"/>
    <x v="0"/>
    <x v="3"/>
    <x v="106"/>
    <n v="9"/>
    <s v="September"/>
    <x v="2"/>
  </r>
  <r>
    <s v="E112"/>
    <s v="Rahul 33"/>
    <x v="0"/>
    <x v="3"/>
    <s v="Associate"/>
    <d v="2023-12-25T00:00:00"/>
    <n v="54531"/>
    <x v="4"/>
    <n v="79.88"/>
    <n v="3"/>
    <x v="1"/>
    <x v="1"/>
    <x v="107"/>
    <n v="12"/>
    <s v="December"/>
    <x v="2"/>
  </r>
  <r>
    <s v="E113"/>
    <s v="Arjun 12"/>
    <x v="0"/>
    <x v="4"/>
    <s v="Associate"/>
    <d v="2018-08-29T00:00:00"/>
    <n v="71558"/>
    <x v="3"/>
    <n v="81.819999999999993"/>
    <n v="1"/>
    <x v="1"/>
    <x v="0"/>
    <x v="108"/>
    <n v="8"/>
    <s v="August"/>
    <x v="0"/>
  </r>
  <r>
    <s v="E114"/>
    <s v="Neha 42"/>
    <x v="0"/>
    <x v="3"/>
    <s v="Associate"/>
    <d v="2020-07-28T00:00:00"/>
    <n v="90827"/>
    <x v="4"/>
    <n v="88.49"/>
    <n v="30"/>
    <x v="0"/>
    <x v="0"/>
    <x v="109"/>
    <n v="7"/>
    <s v="July"/>
    <x v="0"/>
  </r>
  <r>
    <s v="E115"/>
    <s v="Rahul 66"/>
    <x v="1"/>
    <x v="0"/>
    <s v="Analyst"/>
    <d v="2021-08-11T00:00:00"/>
    <n v="113482"/>
    <x v="1"/>
    <n v="93.96"/>
    <n v="18"/>
    <x v="0"/>
    <x v="0"/>
    <x v="110"/>
    <n v="8"/>
    <s v="August"/>
    <x v="0"/>
  </r>
  <r>
    <s v="E116"/>
    <s v="Vikram 78"/>
    <x v="0"/>
    <x v="3"/>
    <s v="Analyst"/>
    <d v="2024-05-10T00:00:00"/>
    <n v="111586"/>
    <x v="2"/>
    <n v="90.66"/>
    <n v="26"/>
    <x v="1"/>
    <x v="3"/>
    <x v="111"/>
    <n v="5"/>
    <s v="May"/>
    <x v="0"/>
  </r>
  <r>
    <s v="E117"/>
    <s v="Priya 27"/>
    <x v="1"/>
    <x v="3"/>
    <s v="Associate"/>
    <d v="2023-02-21T00:00:00"/>
    <n v="104710"/>
    <x v="1"/>
    <n v="77.66"/>
    <n v="18"/>
    <x v="0"/>
    <x v="0"/>
    <x v="112"/>
    <n v="2"/>
    <s v="February"/>
    <x v="0"/>
  </r>
  <r>
    <s v="E118"/>
    <s v="Sneha 91"/>
    <x v="0"/>
    <x v="1"/>
    <s v="Analyst"/>
    <d v="2020-06-15T00:00:00"/>
    <n v="91201"/>
    <x v="4"/>
    <n v="97.38"/>
    <n v="2"/>
    <x v="1"/>
    <x v="2"/>
    <x v="113"/>
    <n v="6"/>
    <s v="June"/>
    <x v="0"/>
  </r>
  <r>
    <s v="E119"/>
    <s v="Vikram 2"/>
    <x v="1"/>
    <x v="1"/>
    <s v="Analyst"/>
    <d v="2024-05-22T00:00:00"/>
    <n v="85569"/>
    <x v="2"/>
    <n v="91.77"/>
    <n v="17"/>
    <x v="1"/>
    <x v="3"/>
    <x v="114"/>
    <n v="5"/>
    <s v="May"/>
    <x v="0"/>
  </r>
  <r>
    <s v="E120"/>
    <s v="Rohit 97"/>
    <x v="1"/>
    <x v="3"/>
    <s v="Manager"/>
    <d v="2019-02-17T00:00:00"/>
    <n v="91761"/>
    <x v="3"/>
    <n v="97.58"/>
    <n v="6"/>
    <x v="0"/>
    <x v="1"/>
    <x v="115"/>
    <n v="2"/>
    <s v="February"/>
    <x v="0"/>
  </r>
  <r>
    <s v="E121"/>
    <s v="Sneha 37"/>
    <x v="1"/>
    <x v="0"/>
    <s v="Associate"/>
    <d v="2018-08-15T00:00:00"/>
    <n v="40678"/>
    <x v="4"/>
    <n v="82.91"/>
    <n v="29"/>
    <x v="0"/>
    <x v="3"/>
    <x v="116"/>
    <n v="8"/>
    <s v="August"/>
    <x v="2"/>
  </r>
  <r>
    <s v="E122"/>
    <s v="Neha 63"/>
    <x v="0"/>
    <x v="1"/>
    <s v="Manager"/>
    <d v="2019-02-23T00:00:00"/>
    <n v="97349"/>
    <x v="4"/>
    <n v="97.97"/>
    <n v="3"/>
    <x v="0"/>
    <x v="3"/>
    <x v="117"/>
    <n v="2"/>
    <s v="February"/>
    <x v="0"/>
  </r>
  <r>
    <s v="E123"/>
    <s v="Arjun 57"/>
    <x v="1"/>
    <x v="0"/>
    <s v="Manager"/>
    <d v="2019-05-17T00:00:00"/>
    <n v="88688"/>
    <x v="0"/>
    <n v="93.33"/>
    <n v="14"/>
    <x v="0"/>
    <x v="2"/>
    <x v="118"/>
    <n v="5"/>
    <s v="May"/>
    <x v="0"/>
  </r>
  <r>
    <s v="E124"/>
    <s v="Anjali 75"/>
    <x v="0"/>
    <x v="1"/>
    <s v="Executive"/>
    <d v="2021-07-04T00:00:00"/>
    <n v="101200"/>
    <x v="1"/>
    <n v="86.3"/>
    <n v="40"/>
    <x v="0"/>
    <x v="1"/>
    <x v="119"/>
    <n v="7"/>
    <s v="July"/>
    <x v="0"/>
  </r>
  <r>
    <s v="E125"/>
    <s v="Sneha 96"/>
    <x v="0"/>
    <x v="0"/>
    <s v="Manager"/>
    <d v="2018-06-08T00:00:00"/>
    <n v="107197"/>
    <x v="2"/>
    <n v="84.63"/>
    <n v="29"/>
    <x v="1"/>
    <x v="3"/>
    <x v="120"/>
    <n v="6"/>
    <s v="June"/>
    <x v="0"/>
  </r>
  <r>
    <s v="E126"/>
    <s v="Rahul 37"/>
    <x v="1"/>
    <x v="3"/>
    <s v="Analyst"/>
    <d v="2021-12-19T00:00:00"/>
    <n v="116390"/>
    <x v="0"/>
    <n v="99.87"/>
    <n v="20"/>
    <x v="0"/>
    <x v="3"/>
    <x v="121"/>
    <n v="12"/>
    <s v="December"/>
    <x v="0"/>
  </r>
  <r>
    <s v="E127"/>
    <s v="Pooja 35"/>
    <x v="0"/>
    <x v="4"/>
    <s v="Executive"/>
    <d v="2023-12-21T00:00:00"/>
    <n v="68576"/>
    <x v="3"/>
    <n v="77.34"/>
    <n v="11"/>
    <x v="0"/>
    <x v="1"/>
    <x v="122"/>
    <n v="12"/>
    <s v="December"/>
    <x v="2"/>
  </r>
  <r>
    <s v="E128"/>
    <s v="Priya 83"/>
    <x v="0"/>
    <x v="3"/>
    <s v="Manager"/>
    <d v="2021-07-12T00:00:00"/>
    <n v="93606"/>
    <x v="4"/>
    <n v="94.85"/>
    <n v="12"/>
    <x v="0"/>
    <x v="1"/>
    <x v="123"/>
    <n v="7"/>
    <s v="July"/>
    <x v="0"/>
  </r>
  <r>
    <s v="E129"/>
    <s v="Rohit 76"/>
    <x v="0"/>
    <x v="0"/>
    <s v="Associate"/>
    <d v="2018-05-31T00:00:00"/>
    <n v="111345"/>
    <x v="3"/>
    <n v="80.790000000000006"/>
    <n v="19"/>
    <x v="1"/>
    <x v="2"/>
    <x v="124"/>
    <n v="5"/>
    <s v="May"/>
    <x v="0"/>
  </r>
  <r>
    <s v="E130"/>
    <s v="Rohit 19"/>
    <x v="0"/>
    <x v="0"/>
    <s v="Executive"/>
    <d v="2022-01-24T00:00:00"/>
    <n v="73242"/>
    <x v="2"/>
    <n v="76.06"/>
    <n v="1"/>
    <x v="0"/>
    <x v="1"/>
    <x v="125"/>
    <n v="1"/>
    <s v="January"/>
    <x v="0"/>
  </r>
  <r>
    <s v="E131"/>
    <s v="Rahul 64"/>
    <x v="1"/>
    <x v="4"/>
    <s v="Associate"/>
    <d v="2019-08-31T00:00:00"/>
    <n v="70955"/>
    <x v="4"/>
    <n v="88.59"/>
    <n v="16"/>
    <x v="1"/>
    <x v="0"/>
    <x v="126"/>
    <n v="8"/>
    <s v="August"/>
    <x v="0"/>
  </r>
  <r>
    <s v="E132"/>
    <s v="Priya 70"/>
    <x v="1"/>
    <x v="2"/>
    <s v="Manager"/>
    <d v="2019-08-31T00:00:00"/>
    <n v="48355"/>
    <x v="0"/>
    <n v="87.94"/>
    <n v="13"/>
    <x v="1"/>
    <x v="3"/>
    <x v="126"/>
    <n v="8"/>
    <s v="August"/>
    <x v="2"/>
  </r>
  <r>
    <s v="E133"/>
    <s v="Amit 13"/>
    <x v="0"/>
    <x v="3"/>
    <s v="Analyst"/>
    <d v="2020-01-06T00:00:00"/>
    <n v="42435"/>
    <x v="3"/>
    <n v="90.11"/>
    <n v="31"/>
    <x v="1"/>
    <x v="0"/>
    <x v="127"/>
    <n v="1"/>
    <s v="January"/>
    <x v="2"/>
  </r>
  <r>
    <s v="E134"/>
    <s v="Anjali 48"/>
    <x v="1"/>
    <x v="1"/>
    <s v="Manager"/>
    <d v="2022-06-20T00:00:00"/>
    <n v="105809"/>
    <x v="1"/>
    <n v="94.06"/>
    <n v="33"/>
    <x v="0"/>
    <x v="3"/>
    <x v="128"/>
    <n v="6"/>
    <s v="June"/>
    <x v="0"/>
  </r>
  <r>
    <s v="E135"/>
    <s v="Rahul 68"/>
    <x v="1"/>
    <x v="4"/>
    <s v="Analyst"/>
    <d v="2021-02-06T00:00:00"/>
    <n v="103383"/>
    <x v="3"/>
    <n v="82.41"/>
    <n v="19"/>
    <x v="1"/>
    <x v="1"/>
    <x v="129"/>
    <n v="2"/>
    <s v="February"/>
    <x v="0"/>
  </r>
  <r>
    <s v="E136"/>
    <s v="Rahul 1"/>
    <x v="0"/>
    <x v="2"/>
    <s v="Manager"/>
    <d v="2020-09-08T00:00:00"/>
    <n v="78227"/>
    <x v="1"/>
    <n v="83.28"/>
    <n v="16"/>
    <x v="1"/>
    <x v="2"/>
    <x v="130"/>
    <n v="9"/>
    <s v="September"/>
    <x v="0"/>
  </r>
  <r>
    <s v="E137"/>
    <s v="Pooja 39"/>
    <x v="1"/>
    <x v="1"/>
    <s v="Executive"/>
    <d v="2020-08-20T00:00:00"/>
    <n v="35431"/>
    <x v="0"/>
    <n v="83.12"/>
    <n v="17"/>
    <x v="0"/>
    <x v="0"/>
    <x v="131"/>
    <n v="8"/>
    <s v="August"/>
    <x v="1"/>
  </r>
  <r>
    <s v="E138"/>
    <s v="Neha 68"/>
    <x v="1"/>
    <x v="1"/>
    <s v="Manager"/>
    <d v="2024-10-19T00:00:00"/>
    <n v="114831"/>
    <x v="3"/>
    <n v="78.180000000000007"/>
    <n v="19"/>
    <x v="1"/>
    <x v="2"/>
    <x v="132"/>
    <n v="10"/>
    <s v="October"/>
    <x v="0"/>
  </r>
  <r>
    <s v="E139"/>
    <s v="Arjun 71"/>
    <x v="1"/>
    <x v="4"/>
    <s v="Analyst"/>
    <d v="2020-09-02T00:00:00"/>
    <n v="31613"/>
    <x v="3"/>
    <n v="85.3"/>
    <n v="27"/>
    <x v="0"/>
    <x v="3"/>
    <x v="133"/>
    <n v="9"/>
    <s v="September"/>
    <x v="1"/>
  </r>
  <r>
    <s v="E140"/>
    <s v="Rohit 12"/>
    <x v="1"/>
    <x v="1"/>
    <s v="Manager"/>
    <d v="2022-10-17T00:00:00"/>
    <n v="105136"/>
    <x v="1"/>
    <n v="77.569999999999993"/>
    <n v="29"/>
    <x v="1"/>
    <x v="0"/>
    <x v="134"/>
    <n v="10"/>
    <s v="October"/>
    <x v="0"/>
  </r>
  <r>
    <s v="E141"/>
    <s v="Vikram 12"/>
    <x v="0"/>
    <x v="2"/>
    <s v="Associate"/>
    <d v="2023-06-28T00:00:00"/>
    <n v="51012"/>
    <x v="4"/>
    <n v="90.15"/>
    <n v="4"/>
    <x v="1"/>
    <x v="3"/>
    <x v="135"/>
    <n v="6"/>
    <s v="June"/>
    <x v="2"/>
  </r>
  <r>
    <s v="E142"/>
    <s v="Rahul 92"/>
    <x v="1"/>
    <x v="1"/>
    <s v="Associate"/>
    <d v="2024-02-06T00:00:00"/>
    <n v="107181"/>
    <x v="2"/>
    <n v="84.75"/>
    <n v="10"/>
    <x v="0"/>
    <x v="3"/>
    <x v="136"/>
    <n v="2"/>
    <s v="February"/>
    <x v="0"/>
  </r>
  <r>
    <s v="E143"/>
    <s v="Pooja 65"/>
    <x v="0"/>
    <x v="4"/>
    <s v="Analyst"/>
    <d v="2024-04-11T00:00:00"/>
    <n v="70150"/>
    <x v="3"/>
    <n v="98.55"/>
    <n v="3"/>
    <x v="1"/>
    <x v="0"/>
    <x v="137"/>
    <n v="4"/>
    <s v="April"/>
    <x v="0"/>
  </r>
  <r>
    <s v="E144"/>
    <s v="Pooja 85"/>
    <x v="1"/>
    <x v="0"/>
    <s v="Manager"/>
    <d v="2019-09-12T00:00:00"/>
    <n v="118489"/>
    <x v="0"/>
    <n v="95.82"/>
    <n v="7"/>
    <x v="0"/>
    <x v="3"/>
    <x v="138"/>
    <n v="9"/>
    <s v="September"/>
    <x v="0"/>
  </r>
  <r>
    <s v="E145"/>
    <s v="Sneha 13"/>
    <x v="1"/>
    <x v="0"/>
    <s v="Associate"/>
    <d v="2019-09-24T00:00:00"/>
    <n v="67288"/>
    <x v="3"/>
    <n v="95.07"/>
    <n v="15"/>
    <x v="1"/>
    <x v="1"/>
    <x v="139"/>
    <n v="9"/>
    <s v="September"/>
    <x v="2"/>
  </r>
  <r>
    <s v="E146"/>
    <s v="Rohit 70"/>
    <x v="0"/>
    <x v="3"/>
    <s v="Analyst"/>
    <d v="2024-10-09T00:00:00"/>
    <n v="104948"/>
    <x v="4"/>
    <n v="92.92"/>
    <n v="37"/>
    <x v="1"/>
    <x v="3"/>
    <x v="140"/>
    <n v="10"/>
    <s v="October"/>
    <x v="0"/>
  </r>
  <r>
    <s v="E147"/>
    <s v="Rahul 9"/>
    <x v="1"/>
    <x v="0"/>
    <s v="Analyst"/>
    <d v="2020-04-17T00:00:00"/>
    <n v="102971"/>
    <x v="0"/>
    <n v="87.51"/>
    <n v="11"/>
    <x v="1"/>
    <x v="0"/>
    <x v="141"/>
    <n v="4"/>
    <s v="April"/>
    <x v="0"/>
  </r>
  <r>
    <s v="E148"/>
    <s v="Rohit 48"/>
    <x v="0"/>
    <x v="4"/>
    <s v="Executive"/>
    <d v="2018-06-24T00:00:00"/>
    <n v="56894"/>
    <x v="4"/>
    <n v="88.87"/>
    <n v="25"/>
    <x v="0"/>
    <x v="2"/>
    <x v="142"/>
    <n v="6"/>
    <s v="June"/>
    <x v="2"/>
  </r>
  <r>
    <s v="E149"/>
    <s v="Amit 1"/>
    <x v="1"/>
    <x v="1"/>
    <s v="Analyst"/>
    <d v="2020-07-16T00:00:00"/>
    <n v="112320"/>
    <x v="4"/>
    <n v="90.01"/>
    <n v="40"/>
    <x v="1"/>
    <x v="3"/>
    <x v="143"/>
    <n v="7"/>
    <s v="July"/>
    <x v="0"/>
  </r>
  <r>
    <s v="E150"/>
    <s v="Sneha 93"/>
    <x v="0"/>
    <x v="4"/>
    <s v="Manager"/>
    <d v="2022-02-26T00:00:00"/>
    <n v="96146"/>
    <x v="1"/>
    <n v="92.24"/>
    <n v="9"/>
    <x v="1"/>
    <x v="3"/>
    <x v="144"/>
    <n v="2"/>
    <s v="February"/>
    <x v="0"/>
  </r>
  <r>
    <s v="E151"/>
    <s v="Neha 13"/>
    <x v="0"/>
    <x v="1"/>
    <s v="Manager"/>
    <d v="2023-05-14T00:00:00"/>
    <n v="108495"/>
    <x v="4"/>
    <n v="99.09"/>
    <n v="10"/>
    <x v="1"/>
    <x v="1"/>
    <x v="145"/>
    <n v="5"/>
    <s v="May"/>
    <x v="0"/>
  </r>
  <r>
    <s v="E152"/>
    <s v="Pooja 25"/>
    <x v="1"/>
    <x v="4"/>
    <s v="Analyst"/>
    <d v="2021-11-28T00:00:00"/>
    <n v="61329"/>
    <x v="2"/>
    <n v="78.22"/>
    <n v="25"/>
    <x v="1"/>
    <x v="0"/>
    <x v="146"/>
    <n v="11"/>
    <s v="November"/>
    <x v="2"/>
  </r>
  <r>
    <s v="E153"/>
    <s v="Pooja 80"/>
    <x v="0"/>
    <x v="0"/>
    <s v="Analyst"/>
    <d v="2020-08-15T00:00:00"/>
    <n v="119234"/>
    <x v="2"/>
    <n v="95.58"/>
    <n v="14"/>
    <x v="1"/>
    <x v="1"/>
    <x v="147"/>
    <n v="8"/>
    <s v="August"/>
    <x v="0"/>
  </r>
  <r>
    <s v="E154"/>
    <s v="Rahul 68"/>
    <x v="0"/>
    <x v="2"/>
    <s v="Associate"/>
    <d v="2019-01-13T00:00:00"/>
    <n v="95170"/>
    <x v="2"/>
    <n v="86.05"/>
    <n v="33"/>
    <x v="1"/>
    <x v="2"/>
    <x v="148"/>
    <n v="1"/>
    <s v="January"/>
    <x v="0"/>
  </r>
  <r>
    <s v="E155"/>
    <s v="Rohit 50"/>
    <x v="1"/>
    <x v="3"/>
    <s v="Analyst"/>
    <d v="2024-09-21T00:00:00"/>
    <n v="108342"/>
    <x v="4"/>
    <n v="91.11"/>
    <n v="38"/>
    <x v="0"/>
    <x v="2"/>
    <x v="149"/>
    <n v="9"/>
    <s v="September"/>
    <x v="0"/>
  </r>
  <r>
    <s v="E156"/>
    <s v="Pooja 57"/>
    <x v="0"/>
    <x v="1"/>
    <s v="Analyst"/>
    <d v="2024-02-02T00:00:00"/>
    <n v="67127"/>
    <x v="0"/>
    <n v="97.85"/>
    <n v="36"/>
    <x v="1"/>
    <x v="0"/>
    <x v="150"/>
    <n v="2"/>
    <s v="February"/>
    <x v="2"/>
  </r>
  <r>
    <s v="E157"/>
    <s v="Priya 60"/>
    <x v="1"/>
    <x v="1"/>
    <s v="Manager"/>
    <d v="2018-03-02T00:00:00"/>
    <n v="105205"/>
    <x v="0"/>
    <n v="87.67"/>
    <n v="16"/>
    <x v="0"/>
    <x v="1"/>
    <x v="151"/>
    <n v="3"/>
    <s v="March"/>
    <x v="0"/>
  </r>
  <r>
    <s v="E158"/>
    <s v="Sneha 8"/>
    <x v="0"/>
    <x v="3"/>
    <s v="Executive"/>
    <d v="2020-09-24T00:00:00"/>
    <n v="67242"/>
    <x v="2"/>
    <n v="98.28"/>
    <n v="17"/>
    <x v="0"/>
    <x v="3"/>
    <x v="152"/>
    <n v="9"/>
    <s v="September"/>
    <x v="2"/>
  </r>
  <r>
    <s v="E159"/>
    <s v="Pooja 59"/>
    <x v="1"/>
    <x v="0"/>
    <s v="Associate"/>
    <d v="2024-05-30T00:00:00"/>
    <n v="31739"/>
    <x v="4"/>
    <n v="84.28"/>
    <n v="7"/>
    <x v="1"/>
    <x v="1"/>
    <x v="153"/>
    <n v="5"/>
    <s v="May"/>
    <x v="1"/>
  </r>
  <r>
    <s v="E160"/>
    <s v="Vikram 34"/>
    <x v="0"/>
    <x v="1"/>
    <s v="Executive"/>
    <d v="2024-10-10T00:00:00"/>
    <n v="37799"/>
    <x v="3"/>
    <n v="89.65"/>
    <n v="33"/>
    <x v="1"/>
    <x v="0"/>
    <x v="154"/>
    <n v="10"/>
    <s v="October"/>
    <x v="1"/>
  </r>
  <r>
    <s v="E161"/>
    <s v="Arjun 5"/>
    <x v="1"/>
    <x v="1"/>
    <s v="Manager"/>
    <d v="2018-09-29T00:00:00"/>
    <n v="101075"/>
    <x v="3"/>
    <n v="84.42"/>
    <n v="15"/>
    <x v="1"/>
    <x v="1"/>
    <x v="155"/>
    <n v="9"/>
    <s v="September"/>
    <x v="0"/>
  </r>
  <r>
    <s v="E162"/>
    <s v="Vikram 97"/>
    <x v="1"/>
    <x v="1"/>
    <s v="Analyst"/>
    <d v="2023-05-20T00:00:00"/>
    <n v="47300"/>
    <x v="2"/>
    <n v="86.83"/>
    <n v="7"/>
    <x v="0"/>
    <x v="1"/>
    <x v="156"/>
    <n v="5"/>
    <s v="May"/>
    <x v="2"/>
  </r>
  <r>
    <s v="E163"/>
    <s v="Sneha 78"/>
    <x v="1"/>
    <x v="0"/>
    <s v="Manager"/>
    <d v="2018-06-24T00:00:00"/>
    <n v="102194"/>
    <x v="1"/>
    <n v="95.73"/>
    <n v="4"/>
    <x v="1"/>
    <x v="1"/>
    <x v="142"/>
    <n v="6"/>
    <s v="June"/>
    <x v="0"/>
  </r>
  <r>
    <s v="E164"/>
    <s v="Sneha 27"/>
    <x v="0"/>
    <x v="2"/>
    <s v="Manager"/>
    <d v="2018-06-23T00:00:00"/>
    <n v="118970"/>
    <x v="3"/>
    <n v="79.37"/>
    <n v="33"/>
    <x v="1"/>
    <x v="1"/>
    <x v="157"/>
    <n v="6"/>
    <s v="June"/>
    <x v="0"/>
  </r>
  <r>
    <s v="E165"/>
    <s v="Rahul 37"/>
    <x v="0"/>
    <x v="0"/>
    <s v="Executive"/>
    <d v="2022-07-03T00:00:00"/>
    <n v="116880"/>
    <x v="4"/>
    <n v="86.11"/>
    <n v="33"/>
    <x v="0"/>
    <x v="1"/>
    <x v="158"/>
    <n v="7"/>
    <s v="July"/>
    <x v="0"/>
  </r>
  <r>
    <s v="E166"/>
    <s v="Rahul 80"/>
    <x v="1"/>
    <x v="1"/>
    <s v="Analyst"/>
    <d v="2022-05-10T00:00:00"/>
    <n v="58272"/>
    <x v="4"/>
    <n v="90.41"/>
    <n v="38"/>
    <x v="0"/>
    <x v="1"/>
    <x v="159"/>
    <n v="5"/>
    <s v="May"/>
    <x v="2"/>
  </r>
  <r>
    <s v="E167"/>
    <s v="Priya 67"/>
    <x v="0"/>
    <x v="2"/>
    <s v="Analyst"/>
    <d v="2023-03-16T00:00:00"/>
    <n v="61852"/>
    <x v="0"/>
    <n v="79.06"/>
    <n v="33"/>
    <x v="1"/>
    <x v="0"/>
    <x v="160"/>
    <n v="3"/>
    <s v="March"/>
    <x v="2"/>
  </r>
  <r>
    <s v="E168"/>
    <s v="Anjali 58"/>
    <x v="1"/>
    <x v="2"/>
    <s v="Associate"/>
    <d v="2019-06-30T00:00:00"/>
    <n v="26829"/>
    <x v="3"/>
    <n v="98.11"/>
    <n v="31"/>
    <x v="0"/>
    <x v="1"/>
    <x v="161"/>
    <n v="6"/>
    <s v="June"/>
    <x v="1"/>
  </r>
  <r>
    <s v="E169"/>
    <s v="Neha 82"/>
    <x v="1"/>
    <x v="4"/>
    <s v="Associate"/>
    <d v="2019-08-01T00:00:00"/>
    <n v="45831"/>
    <x v="3"/>
    <n v="80.61"/>
    <n v="15"/>
    <x v="1"/>
    <x v="3"/>
    <x v="162"/>
    <n v="8"/>
    <s v="August"/>
    <x v="2"/>
  </r>
  <r>
    <s v="E170"/>
    <s v="Amit 52"/>
    <x v="0"/>
    <x v="0"/>
    <s v="Executive"/>
    <d v="2020-09-20T00:00:00"/>
    <n v="82906"/>
    <x v="2"/>
    <n v="75.099999999999994"/>
    <n v="19"/>
    <x v="0"/>
    <x v="1"/>
    <x v="163"/>
    <n v="9"/>
    <s v="September"/>
    <x v="0"/>
  </r>
  <r>
    <s v="E171"/>
    <s v="Sneha 22"/>
    <x v="1"/>
    <x v="2"/>
    <s v="Manager"/>
    <d v="2022-03-11T00:00:00"/>
    <n v="102360"/>
    <x v="2"/>
    <n v="97.04"/>
    <n v="29"/>
    <x v="0"/>
    <x v="2"/>
    <x v="164"/>
    <n v="3"/>
    <s v="March"/>
    <x v="0"/>
  </r>
  <r>
    <s v="E172"/>
    <s v="Arjun 35"/>
    <x v="1"/>
    <x v="2"/>
    <s v="Executive"/>
    <d v="2019-04-28T00:00:00"/>
    <n v="107350"/>
    <x v="2"/>
    <n v="97.29"/>
    <n v="13"/>
    <x v="1"/>
    <x v="1"/>
    <x v="165"/>
    <n v="4"/>
    <s v="April"/>
    <x v="0"/>
  </r>
  <r>
    <s v="E173"/>
    <s v="Priya 47"/>
    <x v="1"/>
    <x v="0"/>
    <s v="Manager"/>
    <d v="2022-04-09T00:00:00"/>
    <n v="106866"/>
    <x v="4"/>
    <n v="91.38"/>
    <n v="1"/>
    <x v="0"/>
    <x v="2"/>
    <x v="166"/>
    <n v="4"/>
    <s v="April"/>
    <x v="0"/>
  </r>
  <r>
    <s v="E174"/>
    <s v="Rahul 70"/>
    <x v="0"/>
    <x v="0"/>
    <s v="Associate"/>
    <d v="2023-06-19T00:00:00"/>
    <n v="37994"/>
    <x v="1"/>
    <n v="94.15"/>
    <n v="39"/>
    <x v="1"/>
    <x v="1"/>
    <x v="167"/>
    <n v="6"/>
    <s v="June"/>
    <x v="1"/>
  </r>
  <r>
    <s v="E175"/>
    <s v="Neha 22"/>
    <x v="1"/>
    <x v="1"/>
    <s v="Associate"/>
    <d v="2019-08-25T00:00:00"/>
    <n v="71748"/>
    <x v="1"/>
    <n v="97.92"/>
    <n v="0"/>
    <x v="0"/>
    <x v="2"/>
    <x v="168"/>
    <n v="8"/>
    <s v="August"/>
    <x v="0"/>
  </r>
  <r>
    <s v="E176"/>
    <s v="Amit 27"/>
    <x v="1"/>
    <x v="1"/>
    <s v="Manager"/>
    <d v="2018-12-08T00:00:00"/>
    <n v="85710"/>
    <x v="0"/>
    <n v="99.97"/>
    <n v="30"/>
    <x v="0"/>
    <x v="1"/>
    <x v="169"/>
    <n v="12"/>
    <s v="December"/>
    <x v="0"/>
  </r>
  <r>
    <s v="E177"/>
    <s v="Anjali 12"/>
    <x v="1"/>
    <x v="1"/>
    <s v="Executive"/>
    <d v="2022-03-24T00:00:00"/>
    <n v="91075"/>
    <x v="0"/>
    <n v="76.290000000000006"/>
    <n v="30"/>
    <x v="1"/>
    <x v="0"/>
    <x v="170"/>
    <n v="3"/>
    <s v="March"/>
    <x v="0"/>
  </r>
  <r>
    <s v="E178"/>
    <s v="Anjali 67"/>
    <x v="0"/>
    <x v="4"/>
    <s v="Associate"/>
    <d v="2021-03-09T00:00:00"/>
    <n v="45460"/>
    <x v="1"/>
    <n v="97.87"/>
    <n v="34"/>
    <x v="1"/>
    <x v="2"/>
    <x v="171"/>
    <n v="3"/>
    <s v="March"/>
    <x v="2"/>
  </r>
  <r>
    <s v="E179"/>
    <s v="Amit 9"/>
    <x v="0"/>
    <x v="1"/>
    <s v="Executive"/>
    <d v="2021-04-26T00:00:00"/>
    <n v="81836"/>
    <x v="1"/>
    <n v="76.45"/>
    <n v="29"/>
    <x v="1"/>
    <x v="3"/>
    <x v="172"/>
    <n v="4"/>
    <s v="April"/>
    <x v="0"/>
  </r>
  <r>
    <s v="E180"/>
    <s v="Priya 57"/>
    <x v="0"/>
    <x v="3"/>
    <s v="Executive"/>
    <d v="2024-07-11T00:00:00"/>
    <n v="31305"/>
    <x v="1"/>
    <n v="94.21"/>
    <n v="9"/>
    <x v="0"/>
    <x v="0"/>
    <x v="173"/>
    <n v="7"/>
    <s v="July"/>
    <x v="1"/>
  </r>
  <r>
    <s v="E181"/>
    <s v="Sneha 40"/>
    <x v="0"/>
    <x v="3"/>
    <s v="Manager"/>
    <d v="2023-07-04T00:00:00"/>
    <n v="30127"/>
    <x v="2"/>
    <n v="91.97"/>
    <n v="7"/>
    <x v="0"/>
    <x v="2"/>
    <x v="174"/>
    <n v="7"/>
    <s v="July"/>
    <x v="1"/>
  </r>
  <r>
    <s v="E182"/>
    <s v="Vikram 59"/>
    <x v="0"/>
    <x v="1"/>
    <s v="Analyst"/>
    <d v="2024-02-12T00:00:00"/>
    <n v="43816"/>
    <x v="1"/>
    <n v="78.12"/>
    <n v="22"/>
    <x v="1"/>
    <x v="2"/>
    <x v="175"/>
    <n v="2"/>
    <s v="February"/>
    <x v="2"/>
  </r>
  <r>
    <s v="E183"/>
    <s v="Vikram 16"/>
    <x v="0"/>
    <x v="1"/>
    <s v="Executive"/>
    <d v="2024-06-06T00:00:00"/>
    <n v="38732"/>
    <x v="0"/>
    <n v="92.08"/>
    <n v="27"/>
    <x v="1"/>
    <x v="3"/>
    <x v="176"/>
    <n v="6"/>
    <s v="June"/>
    <x v="1"/>
  </r>
  <r>
    <s v="E184"/>
    <s v="Vikram 46"/>
    <x v="1"/>
    <x v="2"/>
    <s v="Analyst"/>
    <d v="2024-02-18T00:00:00"/>
    <n v="107937"/>
    <x v="4"/>
    <n v="91.94"/>
    <n v="18"/>
    <x v="1"/>
    <x v="0"/>
    <x v="177"/>
    <n v="2"/>
    <s v="February"/>
    <x v="0"/>
  </r>
  <r>
    <s v="E185"/>
    <s v="Rahul 95"/>
    <x v="1"/>
    <x v="2"/>
    <s v="Manager"/>
    <d v="2022-07-24T00:00:00"/>
    <n v="76419"/>
    <x v="1"/>
    <n v="77.98"/>
    <n v="31"/>
    <x v="0"/>
    <x v="3"/>
    <x v="178"/>
    <n v="7"/>
    <s v="July"/>
    <x v="0"/>
  </r>
  <r>
    <s v="E186"/>
    <s v="Rohit 22"/>
    <x v="1"/>
    <x v="2"/>
    <s v="Executive"/>
    <d v="2022-03-19T00:00:00"/>
    <n v="73992"/>
    <x v="0"/>
    <n v="80.83"/>
    <n v="2"/>
    <x v="1"/>
    <x v="1"/>
    <x v="179"/>
    <n v="3"/>
    <s v="March"/>
    <x v="0"/>
  </r>
  <r>
    <s v="E187"/>
    <s v="Rohit 7"/>
    <x v="1"/>
    <x v="4"/>
    <s v="Executive"/>
    <d v="2021-01-24T00:00:00"/>
    <n v="96874"/>
    <x v="0"/>
    <n v="83.48"/>
    <n v="1"/>
    <x v="1"/>
    <x v="0"/>
    <x v="180"/>
    <n v="1"/>
    <s v="January"/>
    <x v="0"/>
  </r>
  <r>
    <s v="E188"/>
    <s v="Pooja 64"/>
    <x v="1"/>
    <x v="1"/>
    <s v="Associate"/>
    <d v="2020-06-19T00:00:00"/>
    <n v="38582"/>
    <x v="3"/>
    <n v="79.08"/>
    <n v="14"/>
    <x v="0"/>
    <x v="1"/>
    <x v="69"/>
    <n v="6"/>
    <s v="June"/>
    <x v="1"/>
  </r>
  <r>
    <s v="E189"/>
    <s v="Amit 51"/>
    <x v="0"/>
    <x v="2"/>
    <s v="Analyst"/>
    <d v="2020-02-13T00:00:00"/>
    <n v="114900"/>
    <x v="3"/>
    <n v="90.83"/>
    <n v="18"/>
    <x v="0"/>
    <x v="3"/>
    <x v="50"/>
    <n v="2"/>
    <s v="February"/>
    <x v="0"/>
  </r>
  <r>
    <s v="E190"/>
    <s v="Amit 9"/>
    <x v="1"/>
    <x v="3"/>
    <s v="Executive"/>
    <d v="2021-04-15T00:00:00"/>
    <n v="66916"/>
    <x v="3"/>
    <n v="77.84"/>
    <n v="19"/>
    <x v="0"/>
    <x v="0"/>
    <x v="181"/>
    <n v="4"/>
    <s v="April"/>
    <x v="2"/>
  </r>
  <r>
    <s v="E191"/>
    <s v="Anjali 90"/>
    <x v="0"/>
    <x v="1"/>
    <s v="Manager"/>
    <d v="2020-01-31T00:00:00"/>
    <n v="65269"/>
    <x v="0"/>
    <n v="82.89"/>
    <n v="1"/>
    <x v="0"/>
    <x v="0"/>
    <x v="182"/>
    <n v="1"/>
    <s v="January"/>
    <x v="2"/>
  </r>
  <r>
    <s v="E192"/>
    <s v="Rahul 12"/>
    <x v="1"/>
    <x v="4"/>
    <s v="Executive"/>
    <d v="2024-04-04T00:00:00"/>
    <n v="117631"/>
    <x v="2"/>
    <n v="92.22"/>
    <n v="21"/>
    <x v="0"/>
    <x v="3"/>
    <x v="183"/>
    <n v="4"/>
    <s v="April"/>
    <x v="0"/>
  </r>
  <r>
    <s v="E193"/>
    <s v="Neha 46"/>
    <x v="0"/>
    <x v="3"/>
    <s v="Associate"/>
    <d v="2020-08-04T00:00:00"/>
    <n v="46842"/>
    <x v="4"/>
    <n v="76.86"/>
    <n v="20"/>
    <x v="0"/>
    <x v="1"/>
    <x v="184"/>
    <n v="8"/>
    <s v="August"/>
    <x v="2"/>
  </r>
  <r>
    <s v="E194"/>
    <s v="Rahul 1"/>
    <x v="0"/>
    <x v="1"/>
    <s v="Executive"/>
    <d v="2020-10-15T00:00:00"/>
    <n v="114289"/>
    <x v="2"/>
    <n v="81.760000000000005"/>
    <n v="1"/>
    <x v="0"/>
    <x v="2"/>
    <x v="185"/>
    <n v="10"/>
    <s v="October"/>
    <x v="0"/>
  </r>
  <r>
    <s v="E195"/>
    <s v="Arjun 65"/>
    <x v="0"/>
    <x v="4"/>
    <s v="Associate"/>
    <d v="2022-02-01T00:00:00"/>
    <n v="43114"/>
    <x v="1"/>
    <n v="80.73"/>
    <n v="36"/>
    <x v="1"/>
    <x v="1"/>
    <x v="186"/>
    <n v="2"/>
    <s v="February"/>
    <x v="2"/>
  </r>
  <r>
    <s v="E196"/>
    <s v="Neha 61"/>
    <x v="1"/>
    <x v="3"/>
    <s v="Executive"/>
    <d v="2023-02-14T00:00:00"/>
    <n v="86112"/>
    <x v="4"/>
    <n v="86.57"/>
    <n v="4"/>
    <x v="0"/>
    <x v="1"/>
    <x v="187"/>
    <n v="2"/>
    <s v="February"/>
    <x v="0"/>
  </r>
  <r>
    <s v="E197"/>
    <s v="Rahul 83"/>
    <x v="0"/>
    <x v="2"/>
    <s v="Executive"/>
    <d v="2021-10-25T00:00:00"/>
    <n v="87299"/>
    <x v="0"/>
    <n v="81.260000000000005"/>
    <n v="10"/>
    <x v="1"/>
    <x v="1"/>
    <x v="188"/>
    <n v="10"/>
    <s v="October"/>
    <x v="0"/>
  </r>
  <r>
    <s v="E198"/>
    <s v="Pooja 88"/>
    <x v="1"/>
    <x v="4"/>
    <s v="Analyst"/>
    <d v="2022-07-29T00:00:00"/>
    <n v="105837"/>
    <x v="0"/>
    <n v="95.21"/>
    <n v="9"/>
    <x v="1"/>
    <x v="1"/>
    <x v="189"/>
    <n v="7"/>
    <s v="July"/>
    <x v="0"/>
  </r>
  <r>
    <s v="E199"/>
    <s v="Anjali 49"/>
    <x v="1"/>
    <x v="0"/>
    <s v="Executive"/>
    <d v="2021-09-03T00:00:00"/>
    <n v="92963"/>
    <x v="3"/>
    <n v="83.66"/>
    <n v="16"/>
    <x v="0"/>
    <x v="3"/>
    <x v="190"/>
    <n v="9"/>
    <s v="September"/>
    <x v="0"/>
  </r>
  <r>
    <s v="E200"/>
    <s v="Arjun 81"/>
    <x v="1"/>
    <x v="4"/>
    <s v="Executive"/>
    <d v="2019-12-08T00:00:00"/>
    <n v="33700"/>
    <x v="4"/>
    <n v="82.96"/>
    <n v="2"/>
    <x v="0"/>
    <x v="1"/>
    <x v="191"/>
    <n v="12"/>
    <s v="Decembe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497250-8C3A-4704-BE19-B3EE087F7E7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2:H32" firstHeaderRow="1" firstDataRow="1" firstDataCol="1"/>
  <pivotFields count="19">
    <pivotField dataField="1" showAll="0"/>
    <pivotField showAll="0"/>
    <pivotField showAll="0">
      <items count="3">
        <item x="0"/>
        <item x="1"/>
        <item t="default"/>
      </items>
    </pivotField>
    <pivotField showAll="0"/>
    <pivotField showAll="0"/>
    <pivotField numFmtId="14" showAll="0"/>
    <pivotField showAll="0"/>
    <pivotField showAll="0"/>
    <pivotField showAll="0"/>
    <pivotField showAll="0"/>
    <pivotField axis="axisRow" showAll="0">
      <items count="3">
        <item x="0"/>
        <item x="1"/>
        <item t="default"/>
      </items>
    </pivotField>
    <pivotField showAll="0">
      <items count="5">
        <item x="1"/>
        <item x="3"/>
        <item x="0"/>
        <item x="2"/>
        <item t="default"/>
      </items>
    </pivotField>
    <pivotField numFmtId="14" showAll="0">
      <items count="193">
        <item x="30"/>
        <item x="88"/>
        <item x="68"/>
        <item x="73"/>
        <item x="151"/>
        <item x="84"/>
        <item x="43"/>
        <item x="17"/>
        <item x="7"/>
        <item x="98"/>
        <item x="66"/>
        <item x="124"/>
        <item x="120"/>
        <item x="47"/>
        <item x="157"/>
        <item x="142"/>
        <item x="78"/>
        <item x="27"/>
        <item x="116"/>
        <item x="9"/>
        <item x="108"/>
        <item x="34"/>
        <item x="155"/>
        <item x="94"/>
        <item x="169"/>
        <item x="26"/>
        <item x="148"/>
        <item x="115"/>
        <item x="117"/>
        <item x="99"/>
        <item x="76"/>
        <item x="165"/>
        <item x="86"/>
        <item x="71"/>
        <item x="29"/>
        <item x="118"/>
        <item x="161"/>
        <item x="102"/>
        <item x="162"/>
        <item x="12"/>
        <item x="72"/>
        <item x="168"/>
        <item x="126"/>
        <item x="106"/>
        <item x="138"/>
        <item x="139"/>
        <item x="21"/>
        <item x="57"/>
        <item x="48"/>
        <item x="40"/>
        <item x="191"/>
        <item x="127"/>
        <item x="101"/>
        <item x="182"/>
        <item x="23"/>
        <item x="49"/>
        <item x="50"/>
        <item x="141"/>
        <item x="96"/>
        <item x="113"/>
        <item x="69"/>
        <item x="19"/>
        <item x="143"/>
        <item x="16"/>
        <item x="33"/>
        <item x="109"/>
        <item x="51"/>
        <item x="184"/>
        <item x="147"/>
        <item x="131"/>
        <item x="56"/>
        <item x="133"/>
        <item x="130"/>
        <item x="163"/>
        <item x="152"/>
        <item x="185"/>
        <item x="41"/>
        <item x="0"/>
        <item x="70"/>
        <item x="93"/>
        <item x="180"/>
        <item x="62"/>
        <item x="129"/>
        <item x="80"/>
        <item x="171"/>
        <item x="39"/>
        <item x="83"/>
        <item x="181"/>
        <item x="172"/>
        <item x="52"/>
        <item x="119"/>
        <item x="55"/>
        <item x="123"/>
        <item x="95"/>
        <item x="37"/>
        <item x="82"/>
        <item x="110"/>
        <item x="190"/>
        <item x="32"/>
        <item x="38"/>
        <item x="91"/>
        <item x="64"/>
        <item x="188"/>
        <item x="74"/>
        <item x="146"/>
        <item x="121"/>
        <item x="44"/>
        <item x="104"/>
        <item x="125"/>
        <item x="14"/>
        <item x="186"/>
        <item x="35"/>
        <item x="90"/>
        <item x="144"/>
        <item x="164"/>
        <item x="179"/>
        <item x="170"/>
        <item x="166"/>
        <item x="159"/>
        <item x="97"/>
        <item x="128"/>
        <item x="158"/>
        <item x="63"/>
        <item x="178"/>
        <item x="189"/>
        <item x="75"/>
        <item x="36"/>
        <item x="77"/>
        <item x="53"/>
        <item x="5"/>
        <item x="11"/>
        <item x="134"/>
        <item x="92"/>
        <item x="25"/>
        <item x="65"/>
        <item x="6"/>
        <item x="1"/>
        <item x="54"/>
        <item x="89"/>
        <item x="187"/>
        <item x="112"/>
        <item x="160"/>
        <item x="105"/>
        <item x="145"/>
        <item x="156"/>
        <item x="59"/>
        <item x="46"/>
        <item x="42"/>
        <item x="167"/>
        <item x="31"/>
        <item x="135"/>
        <item x="174"/>
        <item x="18"/>
        <item x="8"/>
        <item x="13"/>
        <item x="85"/>
        <item x="4"/>
        <item x="103"/>
        <item x="58"/>
        <item x="10"/>
        <item x="45"/>
        <item x="22"/>
        <item x="15"/>
        <item x="100"/>
        <item x="122"/>
        <item x="107"/>
        <item x="79"/>
        <item x="150"/>
        <item x="136"/>
        <item x="175"/>
        <item x="177"/>
        <item x="81"/>
        <item x="183"/>
        <item x="137"/>
        <item x="24"/>
        <item x="111"/>
        <item x="114"/>
        <item x="153"/>
        <item x="60"/>
        <item x="176"/>
        <item x="87"/>
        <item x="28"/>
        <item x="67"/>
        <item x="173"/>
        <item x="61"/>
        <item x="2"/>
        <item x="3"/>
        <item x="149"/>
        <item x="140"/>
        <item x="154"/>
        <item x="132"/>
        <item x="20"/>
        <item t="default"/>
      </items>
    </pivotField>
    <pivotField showAll="0"/>
    <pivotField showAll="0"/>
    <pivotField axis="axisRow" showAll="0">
      <items count="4">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2">
    <field x="15"/>
    <field x="10"/>
  </rowFields>
  <rowItems count="10">
    <i>
      <x/>
    </i>
    <i r="1">
      <x/>
    </i>
    <i r="1">
      <x v="1"/>
    </i>
    <i>
      <x v="1"/>
    </i>
    <i r="1">
      <x/>
    </i>
    <i r="1">
      <x v="1"/>
    </i>
    <i>
      <x v="2"/>
    </i>
    <i r="1">
      <x/>
    </i>
    <i r="1">
      <x v="1"/>
    </i>
    <i t="grand">
      <x/>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5A9C5B-27FB-4F53-93B3-9173657D02C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22:E38" firstHeaderRow="1" firstDataRow="1" firstDataCol="1"/>
  <pivotFields count="19">
    <pivotField showAll="0"/>
    <pivotField showAll="0"/>
    <pivotField showAll="0">
      <items count="3">
        <item x="0"/>
        <item x="1"/>
        <item t="default"/>
      </items>
    </pivotField>
    <pivotField axis="axisRow" showAll="0">
      <items count="6">
        <item x="4"/>
        <item x="3"/>
        <item x="1"/>
        <item x="0"/>
        <item x="2"/>
        <item t="default"/>
      </items>
    </pivotField>
    <pivotField showAll="0"/>
    <pivotField numFmtId="14" showAll="0"/>
    <pivotField showAll="0"/>
    <pivotField showAll="0"/>
    <pivotField showAll="0"/>
    <pivotField showAll="0"/>
    <pivotField axis="axisRow" dataField="1" showAll="0">
      <items count="3">
        <item x="0"/>
        <item x="1"/>
        <item t="default"/>
      </items>
    </pivotField>
    <pivotField showAll="0">
      <items count="5">
        <item x="1"/>
        <item x="3"/>
        <item x="0"/>
        <item x="2"/>
        <item t="default"/>
      </items>
    </pivotField>
    <pivotField numFmtId="14" showAll="0">
      <items count="193">
        <item x="30"/>
        <item x="88"/>
        <item x="68"/>
        <item x="73"/>
        <item x="151"/>
        <item x="84"/>
        <item x="43"/>
        <item x="17"/>
        <item x="7"/>
        <item x="98"/>
        <item x="66"/>
        <item x="124"/>
        <item x="120"/>
        <item x="47"/>
        <item x="157"/>
        <item x="142"/>
        <item x="78"/>
        <item x="27"/>
        <item x="116"/>
        <item x="9"/>
        <item x="108"/>
        <item x="34"/>
        <item x="155"/>
        <item x="94"/>
        <item x="169"/>
        <item x="26"/>
        <item x="148"/>
        <item x="115"/>
        <item x="117"/>
        <item x="99"/>
        <item x="76"/>
        <item x="165"/>
        <item x="86"/>
        <item x="71"/>
        <item x="29"/>
        <item x="118"/>
        <item x="161"/>
        <item x="102"/>
        <item x="162"/>
        <item x="12"/>
        <item x="72"/>
        <item x="168"/>
        <item x="126"/>
        <item x="106"/>
        <item x="138"/>
        <item x="139"/>
        <item x="21"/>
        <item x="57"/>
        <item x="48"/>
        <item x="40"/>
        <item x="191"/>
        <item x="127"/>
        <item x="101"/>
        <item x="182"/>
        <item x="23"/>
        <item x="49"/>
        <item x="50"/>
        <item x="141"/>
        <item x="96"/>
        <item x="113"/>
        <item x="69"/>
        <item x="19"/>
        <item x="143"/>
        <item x="16"/>
        <item x="33"/>
        <item x="109"/>
        <item x="51"/>
        <item x="184"/>
        <item x="147"/>
        <item x="131"/>
        <item x="56"/>
        <item x="133"/>
        <item x="130"/>
        <item x="163"/>
        <item x="152"/>
        <item x="185"/>
        <item x="41"/>
        <item x="0"/>
        <item x="70"/>
        <item x="93"/>
        <item x="180"/>
        <item x="62"/>
        <item x="129"/>
        <item x="80"/>
        <item x="171"/>
        <item x="39"/>
        <item x="83"/>
        <item x="181"/>
        <item x="172"/>
        <item x="52"/>
        <item x="119"/>
        <item x="55"/>
        <item x="123"/>
        <item x="95"/>
        <item x="37"/>
        <item x="82"/>
        <item x="110"/>
        <item x="190"/>
        <item x="32"/>
        <item x="38"/>
        <item x="91"/>
        <item x="64"/>
        <item x="188"/>
        <item x="74"/>
        <item x="146"/>
        <item x="121"/>
        <item x="44"/>
        <item x="104"/>
        <item x="125"/>
        <item x="14"/>
        <item x="186"/>
        <item x="35"/>
        <item x="90"/>
        <item x="144"/>
        <item x="164"/>
        <item x="179"/>
        <item x="170"/>
        <item x="166"/>
        <item x="159"/>
        <item x="97"/>
        <item x="128"/>
        <item x="158"/>
        <item x="63"/>
        <item x="178"/>
        <item x="189"/>
        <item x="75"/>
        <item x="36"/>
        <item x="77"/>
        <item x="53"/>
        <item x="5"/>
        <item x="11"/>
        <item x="134"/>
        <item x="92"/>
        <item x="25"/>
        <item x="65"/>
        <item x="6"/>
        <item x="1"/>
        <item x="54"/>
        <item x="89"/>
        <item x="187"/>
        <item x="112"/>
        <item x="160"/>
        <item x="105"/>
        <item x="145"/>
        <item x="156"/>
        <item x="59"/>
        <item x="46"/>
        <item x="42"/>
        <item x="167"/>
        <item x="31"/>
        <item x="135"/>
        <item x="174"/>
        <item x="18"/>
        <item x="8"/>
        <item x="13"/>
        <item x="85"/>
        <item x="4"/>
        <item x="103"/>
        <item x="58"/>
        <item x="10"/>
        <item x="45"/>
        <item x="22"/>
        <item x="15"/>
        <item x="100"/>
        <item x="122"/>
        <item x="107"/>
        <item x="79"/>
        <item x="150"/>
        <item x="136"/>
        <item x="175"/>
        <item x="177"/>
        <item x="81"/>
        <item x="183"/>
        <item x="137"/>
        <item x="24"/>
        <item x="111"/>
        <item x="114"/>
        <item x="153"/>
        <item x="60"/>
        <item x="176"/>
        <item x="87"/>
        <item x="28"/>
        <item x="67"/>
        <item x="173"/>
        <item x="61"/>
        <item x="2"/>
        <item x="3"/>
        <item x="149"/>
        <item x="140"/>
        <item x="154"/>
        <item x="132"/>
        <item x="2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2">
    <field x="3"/>
    <field x="10"/>
  </rowFields>
  <rowItems count="16">
    <i>
      <x/>
    </i>
    <i r="1">
      <x/>
    </i>
    <i r="1">
      <x v="1"/>
    </i>
    <i>
      <x v="1"/>
    </i>
    <i r="1">
      <x/>
    </i>
    <i r="1">
      <x v="1"/>
    </i>
    <i>
      <x v="2"/>
    </i>
    <i r="1">
      <x/>
    </i>
    <i r="1">
      <x v="1"/>
    </i>
    <i>
      <x v="3"/>
    </i>
    <i r="1">
      <x/>
    </i>
    <i r="1">
      <x v="1"/>
    </i>
    <i>
      <x v="4"/>
    </i>
    <i r="1">
      <x/>
    </i>
    <i r="1">
      <x v="1"/>
    </i>
    <i t="grand">
      <x/>
    </i>
  </rowItems>
  <colItems count="1">
    <i/>
  </colItems>
  <dataFields count="1">
    <dataField name="Count of Attrition"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9DFBAD-5883-46A1-99E6-5FBF43D20B8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9" firstHeaderRow="1" firstDataRow="1" firstDataCol="1"/>
  <pivotFields count="19">
    <pivotField dataField="1" showAll="0"/>
    <pivotField showAll="0"/>
    <pivotField showAll="0">
      <items count="3">
        <item x="0"/>
        <item x="1"/>
        <item t="default"/>
      </items>
    </pivotField>
    <pivotField showAll="0"/>
    <pivotField showAll="0"/>
    <pivotField numFmtId="14" showAll="0"/>
    <pivotField showAll="0"/>
    <pivotField axis="axisRow" showAll="0">
      <items count="6">
        <item x="3"/>
        <item x="1"/>
        <item x="4"/>
        <item x="2"/>
        <item x="0"/>
        <item t="default"/>
      </items>
    </pivotField>
    <pivotField showAll="0"/>
    <pivotField showAll="0"/>
    <pivotField showAll="0">
      <items count="3">
        <item x="0"/>
        <item x="1"/>
        <item t="default"/>
      </items>
    </pivotField>
    <pivotField showAll="0">
      <items count="5">
        <item x="1"/>
        <item x="3"/>
        <item x="0"/>
        <item x="2"/>
        <item t="default"/>
      </items>
    </pivotField>
    <pivotField numFmtId="14" showAll="0">
      <items count="193">
        <item x="30"/>
        <item x="88"/>
        <item x="68"/>
        <item x="73"/>
        <item x="151"/>
        <item x="84"/>
        <item x="43"/>
        <item x="17"/>
        <item x="7"/>
        <item x="98"/>
        <item x="66"/>
        <item x="124"/>
        <item x="120"/>
        <item x="47"/>
        <item x="157"/>
        <item x="142"/>
        <item x="78"/>
        <item x="27"/>
        <item x="116"/>
        <item x="9"/>
        <item x="108"/>
        <item x="34"/>
        <item x="155"/>
        <item x="94"/>
        <item x="169"/>
        <item x="26"/>
        <item x="148"/>
        <item x="115"/>
        <item x="117"/>
        <item x="99"/>
        <item x="76"/>
        <item x="165"/>
        <item x="86"/>
        <item x="71"/>
        <item x="29"/>
        <item x="118"/>
        <item x="161"/>
        <item x="102"/>
        <item x="162"/>
        <item x="12"/>
        <item x="72"/>
        <item x="168"/>
        <item x="126"/>
        <item x="106"/>
        <item x="138"/>
        <item x="139"/>
        <item x="21"/>
        <item x="57"/>
        <item x="48"/>
        <item x="40"/>
        <item x="191"/>
        <item x="127"/>
        <item x="101"/>
        <item x="182"/>
        <item x="23"/>
        <item x="49"/>
        <item x="50"/>
        <item x="141"/>
        <item x="96"/>
        <item x="113"/>
        <item x="69"/>
        <item x="19"/>
        <item x="143"/>
        <item x="16"/>
        <item x="33"/>
        <item x="109"/>
        <item x="51"/>
        <item x="184"/>
        <item x="147"/>
        <item x="131"/>
        <item x="56"/>
        <item x="133"/>
        <item x="130"/>
        <item x="163"/>
        <item x="152"/>
        <item x="185"/>
        <item x="41"/>
        <item x="0"/>
        <item x="70"/>
        <item x="93"/>
        <item x="180"/>
        <item x="62"/>
        <item x="129"/>
        <item x="80"/>
        <item x="171"/>
        <item x="39"/>
        <item x="83"/>
        <item x="181"/>
        <item x="172"/>
        <item x="52"/>
        <item x="119"/>
        <item x="55"/>
        <item x="123"/>
        <item x="95"/>
        <item x="37"/>
        <item x="82"/>
        <item x="110"/>
        <item x="190"/>
        <item x="32"/>
        <item x="38"/>
        <item x="91"/>
        <item x="64"/>
        <item x="188"/>
        <item x="74"/>
        <item x="146"/>
        <item x="121"/>
        <item x="44"/>
        <item x="104"/>
        <item x="125"/>
        <item x="14"/>
        <item x="186"/>
        <item x="35"/>
        <item x="90"/>
        <item x="144"/>
        <item x="164"/>
        <item x="179"/>
        <item x="170"/>
        <item x="166"/>
        <item x="159"/>
        <item x="97"/>
        <item x="128"/>
        <item x="158"/>
        <item x="63"/>
        <item x="178"/>
        <item x="189"/>
        <item x="75"/>
        <item x="36"/>
        <item x="77"/>
        <item x="53"/>
        <item x="5"/>
        <item x="11"/>
        <item x="134"/>
        <item x="92"/>
        <item x="25"/>
        <item x="65"/>
        <item x="6"/>
        <item x="1"/>
        <item x="54"/>
        <item x="89"/>
        <item x="187"/>
        <item x="112"/>
        <item x="160"/>
        <item x="105"/>
        <item x="145"/>
        <item x="156"/>
        <item x="59"/>
        <item x="46"/>
        <item x="42"/>
        <item x="167"/>
        <item x="31"/>
        <item x="135"/>
        <item x="174"/>
        <item x="18"/>
        <item x="8"/>
        <item x="13"/>
        <item x="85"/>
        <item x="4"/>
        <item x="103"/>
        <item x="58"/>
        <item x="10"/>
        <item x="45"/>
        <item x="22"/>
        <item x="15"/>
        <item x="100"/>
        <item x="122"/>
        <item x="107"/>
        <item x="79"/>
        <item x="150"/>
        <item x="136"/>
        <item x="175"/>
        <item x="177"/>
        <item x="81"/>
        <item x="183"/>
        <item x="137"/>
        <item x="24"/>
        <item x="111"/>
        <item x="114"/>
        <item x="153"/>
        <item x="60"/>
        <item x="176"/>
        <item x="87"/>
        <item x="28"/>
        <item x="67"/>
        <item x="173"/>
        <item x="61"/>
        <item x="2"/>
        <item x="3"/>
        <item x="149"/>
        <item x="140"/>
        <item x="154"/>
        <item x="132"/>
        <item x="2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7"/>
  </rowFields>
  <rowItems count="6">
    <i>
      <x/>
    </i>
    <i>
      <x v="1"/>
    </i>
    <i>
      <x v="2"/>
    </i>
    <i>
      <x v="3"/>
    </i>
    <i>
      <x v="4"/>
    </i>
    <i t="grand">
      <x/>
    </i>
  </rowItems>
  <colItems count="1">
    <i/>
  </colItems>
  <dataFields count="1">
    <dataField name="Count of Employee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9B784F-80A1-4B34-8B3B-E40BA4E094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B30" firstHeaderRow="1" firstDataRow="1" firstDataCol="1"/>
  <pivotFields count="19">
    <pivotField dataField="1" showAll="0"/>
    <pivotField showAll="0"/>
    <pivotField showAll="0">
      <items count="3">
        <item x="0"/>
        <item x="1"/>
        <item t="default"/>
      </items>
    </pivotField>
    <pivotField showAll="0"/>
    <pivotField showAll="0"/>
    <pivotField numFmtId="14" showAll="0"/>
    <pivotField showAll="0"/>
    <pivotField showAll="0"/>
    <pivotField showAll="0"/>
    <pivotField showAll="0"/>
    <pivotField showAll="0">
      <items count="3">
        <item x="0"/>
        <item x="1"/>
        <item t="default"/>
      </items>
    </pivotField>
    <pivotField showAll="0">
      <items count="5">
        <item x="1"/>
        <item x="3"/>
        <item x="0"/>
        <item x="2"/>
        <item t="default"/>
      </items>
    </pivotField>
    <pivotField numFmtId="14" showAll="0">
      <items count="193">
        <item x="30"/>
        <item x="88"/>
        <item x="68"/>
        <item x="73"/>
        <item x="151"/>
        <item x="84"/>
        <item x="43"/>
        <item x="17"/>
        <item x="7"/>
        <item x="98"/>
        <item x="66"/>
        <item x="124"/>
        <item x="120"/>
        <item x="47"/>
        <item x="157"/>
        <item x="142"/>
        <item x="78"/>
        <item x="27"/>
        <item x="116"/>
        <item x="9"/>
        <item x="108"/>
        <item x="34"/>
        <item x="155"/>
        <item x="94"/>
        <item x="169"/>
        <item x="26"/>
        <item x="148"/>
        <item x="115"/>
        <item x="117"/>
        <item x="99"/>
        <item x="76"/>
        <item x="165"/>
        <item x="86"/>
        <item x="71"/>
        <item x="29"/>
        <item x="118"/>
        <item x="161"/>
        <item x="102"/>
        <item x="162"/>
        <item x="12"/>
        <item x="72"/>
        <item x="168"/>
        <item x="126"/>
        <item x="106"/>
        <item x="138"/>
        <item x="139"/>
        <item x="21"/>
        <item x="57"/>
        <item x="48"/>
        <item x="40"/>
        <item x="191"/>
        <item x="127"/>
        <item x="101"/>
        <item x="182"/>
        <item x="23"/>
        <item x="49"/>
        <item x="50"/>
        <item x="141"/>
        <item x="96"/>
        <item x="113"/>
        <item x="69"/>
        <item x="19"/>
        <item x="143"/>
        <item x="16"/>
        <item x="33"/>
        <item x="109"/>
        <item x="51"/>
        <item x="184"/>
        <item x="147"/>
        <item x="131"/>
        <item x="56"/>
        <item x="133"/>
        <item x="130"/>
        <item x="163"/>
        <item x="152"/>
        <item x="185"/>
        <item x="41"/>
        <item x="0"/>
        <item x="70"/>
        <item x="93"/>
        <item x="180"/>
        <item x="62"/>
        <item x="129"/>
        <item x="80"/>
        <item x="171"/>
        <item x="39"/>
        <item x="83"/>
        <item x="181"/>
        <item x="172"/>
        <item x="52"/>
        <item x="119"/>
        <item x="55"/>
        <item x="123"/>
        <item x="95"/>
        <item x="37"/>
        <item x="82"/>
        <item x="110"/>
        <item x="190"/>
        <item x="32"/>
        <item x="38"/>
        <item x="91"/>
        <item x="64"/>
        <item x="188"/>
        <item x="74"/>
        <item x="146"/>
        <item x="121"/>
        <item x="44"/>
        <item x="104"/>
        <item x="125"/>
        <item x="14"/>
        <item x="186"/>
        <item x="35"/>
        <item x="90"/>
        <item x="144"/>
        <item x="164"/>
        <item x="179"/>
        <item x="170"/>
        <item x="166"/>
        <item x="159"/>
        <item x="97"/>
        <item x="128"/>
        <item x="158"/>
        <item x="63"/>
        <item x="178"/>
        <item x="189"/>
        <item x="75"/>
        <item x="36"/>
        <item x="77"/>
        <item x="53"/>
        <item x="5"/>
        <item x="11"/>
        <item x="134"/>
        <item x="92"/>
        <item x="25"/>
        <item x="65"/>
        <item x="6"/>
        <item x="1"/>
        <item x="54"/>
        <item x="89"/>
        <item x="187"/>
        <item x="112"/>
        <item x="160"/>
        <item x="105"/>
        <item x="145"/>
        <item x="156"/>
        <item x="59"/>
        <item x="46"/>
        <item x="42"/>
        <item x="167"/>
        <item x="31"/>
        <item x="135"/>
        <item x="174"/>
        <item x="18"/>
        <item x="8"/>
        <item x="13"/>
        <item x="85"/>
        <item x="4"/>
        <item x="103"/>
        <item x="58"/>
        <item x="10"/>
        <item x="45"/>
        <item x="22"/>
        <item x="15"/>
        <item x="100"/>
        <item x="122"/>
        <item x="107"/>
        <item x="79"/>
        <item x="150"/>
        <item x="136"/>
        <item x="175"/>
        <item x="177"/>
        <item x="81"/>
        <item x="183"/>
        <item x="137"/>
        <item x="24"/>
        <item x="111"/>
        <item x="114"/>
        <item x="153"/>
        <item x="60"/>
        <item x="176"/>
        <item x="87"/>
        <item x="28"/>
        <item x="67"/>
        <item x="173"/>
        <item x="61"/>
        <item x="2"/>
        <item x="3"/>
        <item x="149"/>
        <item x="140"/>
        <item x="154"/>
        <item x="132"/>
        <item x="2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1">
    <field x="18"/>
  </rowFields>
  <rowItems count="8">
    <i>
      <x v="1"/>
    </i>
    <i>
      <x v="2"/>
    </i>
    <i>
      <x v="3"/>
    </i>
    <i>
      <x v="4"/>
    </i>
    <i>
      <x v="5"/>
    </i>
    <i>
      <x v="6"/>
    </i>
    <i>
      <x v="7"/>
    </i>
    <i t="grand">
      <x/>
    </i>
  </rowItems>
  <colItems count="1">
    <i/>
  </colItems>
  <dataFields count="1">
    <dataField name="Count of Employe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7AC37A-03EC-4CA2-A2C1-D7D3370235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4:G17" firstHeaderRow="1" firstDataRow="1" firstDataCol="1"/>
  <pivotFields count="19">
    <pivotField showAll="0"/>
    <pivotField showAll="0"/>
    <pivotField axis="axisRow" showAll="0">
      <items count="3">
        <item x="0"/>
        <item x="1"/>
        <item t="default"/>
      </items>
    </pivotField>
    <pivotField showAll="0"/>
    <pivotField showAll="0"/>
    <pivotField numFmtId="14" showAll="0"/>
    <pivotField showAll="0"/>
    <pivotField showAll="0"/>
    <pivotField dataField="1" showAll="0"/>
    <pivotField showAll="0"/>
    <pivotField showAll="0">
      <items count="3">
        <item x="0"/>
        <item x="1"/>
        <item t="default"/>
      </items>
    </pivotField>
    <pivotField showAll="0">
      <items count="5">
        <item x="1"/>
        <item x="3"/>
        <item x="0"/>
        <item x="2"/>
        <item t="default"/>
      </items>
    </pivotField>
    <pivotField numFmtId="14" showAll="0">
      <items count="193">
        <item x="30"/>
        <item x="88"/>
        <item x="68"/>
        <item x="73"/>
        <item x="151"/>
        <item x="84"/>
        <item x="43"/>
        <item x="17"/>
        <item x="7"/>
        <item x="98"/>
        <item x="66"/>
        <item x="124"/>
        <item x="120"/>
        <item x="47"/>
        <item x="157"/>
        <item x="142"/>
        <item x="78"/>
        <item x="27"/>
        <item x="116"/>
        <item x="9"/>
        <item x="108"/>
        <item x="34"/>
        <item x="155"/>
        <item x="94"/>
        <item x="169"/>
        <item x="26"/>
        <item x="148"/>
        <item x="115"/>
        <item x="117"/>
        <item x="99"/>
        <item x="76"/>
        <item x="165"/>
        <item x="86"/>
        <item x="71"/>
        <item x="29"/>
        <item x="118"/>
        <item x="161"/>
        <item x="102"/>
        <item x="162"/>
        <item x="12"/>
        <item x="72"/>
        <item x="168"/>
        <item x="126"/>
        <item x="106"/>
        <item x="138"/>
        <item x="139"/>
        <item x="21"/>
        <item x="57"/>
        <item x="48"/>
        <item x="40"/>
        <item x="191"/>
        <item x="127"/>
        <item x="101"/>
        <item x="182"/>
        <item x="23"/>
        <item x="49"/>
        <item x="50"/>
        <item x="141"/>
        <item x="96"/>
        <item x="113"/>
        <item x="69"/>
        <item x="19"/>
        <item x="143"/>
        <item x="16"/>
        <item x="33"/>
        <item x="109"/>
        <item x="51"/>
        <item x="184"/>
        <item x="147"/>
        <item x="131"/>
        <item x="56"/>
        <item x="133"/>
        <item x="130"/>
        <item x="163"/>
        <item x="152"/>
        <item x="185"/>
        <item x="41"/>
        <item x="0"/>
        <item x="70"/>
        <item x="93"/>
        <item x="180"/>
        <item x="62"/>
        <item x="129"/>
        <item x="80"/>
        <item x="171"/>
        <item x="39"/>
        <item x="83"/>
        <item x="181"/>
        <item x="172"/>
        <item x="52"/>
        <item x="119"/>
        <item x="55"/>
        <item x="123"/>
        <item x="95"/>
        <item x="37"/>
        <item x="82"/>
        <item x="110"/>
        <item x="190"/>
        <item x="32"/>
        <item x="38"/>
        <item x="91"/>
        <item x="64"/>
        <item x="188"/>
        <item x="74"/>
        <item x="146"/>
        <item x="121"/>
        <item x="44"/>
        <item x="104"/>
        <item x="125"/>
        <item x="14"/>
        <item x="186"/>
        <item x="35"/>
        <item x="90"/>
        <item x="144"/>
        <item x="164"/>
        <item x="179"/>
        <item x="170"/>
        <item x="166"/>
        <item x="159"/>
        <item x="97"/>
        <item x="128"/>
        <item x="158"/>
        <item x="63"/>
        <item x="178"/>
        <item x="189"/>
        <item x="75"/>
        <item x="36"/>
        <item x="77"/>
        <item x="53"/>
        <item x="5"/>
        <item x="11"/>
        <item x="134"/>
        <item x="92"/>
        <item x="25"/>
        <item x="65"/>
        <item x="6"/>
        <item x="1"/>
        <item x="54"/>
        <item x="89"/>
        <item x="187"/>
        <item x="112"/>
        <item x="160"/>
        <item x="105"/>
        <item x="145"/>
        <item x="156"/>
        <item x="59"/>
        <item x="46"/>
        <item x="42"/>
        <item x="167"/>
        <item x="31"/>
        <item x="135"/>
        <item x="174"/>
        <item x="18"/>
        <item x="8"/>
        <item x="13"/>
        <item x="85"/>
        <item x="4"/>
        <item x="103"/>
        <item x="58"/>
        <item x="10"/>
        <item x="45"/>
        <item x="22"/>
        <item x="15"/>
        <item x="100"/>
        <item x="122"/>
        <item x="107"/>
        <item x="79"/>
        <item x="150"/>
        <item x="136"/>
        <item x="175"/>
        <item x="177"/>
        <item x="81"/>
        <item x="183"/>
        <item x="137"/>
        <item x="24"/>
        <item x="111"/>
        <item x="114"/>
        <item x="153"/>
        <item x="60"/>
        <item x="176"/>
        <item x="87"/>
        <item x="28"/>
        <item x="67"/>
        <item x="173"/>
        <item x="61"/>
        <item x="2"/>
        <item x="3"/>
        <item x="149"/>
        <item x="140"/>
        <item x="154"/>
        <item x="132"/>
        <item x="2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3">
    <i>
      <x/>
    </i>
    <i>
      <x v="1"/>
    </i>
    <i t="grand">
      <x/>
    </i>
  </rowItems>
  <colItems count="1">
    <i/>
  </colItems>
  <dataFields count="1">
    <dataField name="Sum of Attendance_%" fld="8" showDataAs="percentOfTota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89263D-63D1-438A-8865-A58410EE906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C10" firstHeaderRow="0" firstDataRow="1" firstDataCol="1"/>
  <pivotFields count="19">
    <pivotField dataField="1" showAll="0"/>
    <pivotField showAll="0"/>
    <pivotField showAll="0">
      <items count="3">
        <item x="0"/>
        <item x="1"/>
        <item t="default"/>
      </items>
    </pivotField>
    <pivotField showAll="0"/>
    <pivotField showAll="0"/>
    <pivotField numFmtId="14" showAll="0"/>
    <pivotField showAll="0"/>
    <pivotField showAll="0"/>
    <pivotField showAll="0"/>
    <pivotField showAll="0"/>
    <pivotField axis="axisRow" dataField="1" showAll="0">
      <items count="3">
        <item x="0"/>
        <item x="1"/>
        <item t="default"/>
      </items>
    </pivotField>
    <pivotField showAll="0">
      <items count="5">
        <item x="1"/>
        <item x="3"/>
        <item x="0"/>
        <item x="2"/>
        <item t="default"/>
      </items>
    </pivotField>
    <pivotField numFmtId="14" showAll="0">
      <items count="193">
        <item x="30"/>
        <item x="88"/>
        <item x="68"/>
        <item x="73"/>
        <item x="151"/>
        <item x="84"/>
        <item x="43"/>
        <item x="17"/>
        <item x="7"/>
        <item x="98"/>
        <item x="66"/>
        <item x="124"/>
        <item x="120"/>
        <item x="47"/>
        <item x="157"/>
        <item x="142"/>
        <item x="78"/>
        <item x="27"/>
        <item x="116"/>
        <item x="9"/>
        <item x="108"/>
        <item x="34"/>
        <item x="155"/>
        <item x="94"/>
        <item x="169"/>
        <item x="26"/>
        <item x="148"/>
        <item x="115"/>
        <item x="117"/>
        <item x="99"/>
        <item x="76"/>
        <item x="165"/>
        <item x="86"/>
        <item x="71"/>
        <item x="29"/>
        <item x="118"/>
        <item x="161"/>
        <item x="102"/>
        <item x="162"/>
        <item x="12"/>
        <item x="72"/>
        <item x="168"/>
        <item x="126"/>
        <item x="106"/>
        <item x="138"/>
        <item x="139"/>
        <item x="21"/>
        <item x="57"/>
        <item x="48"/>
        <item x="40"/>
        <item x="191"/>
        <item x="127"/>
        <item x="101"/>
        <item x="182"/>
        <item x="23"/>
        <item x="49"/>
        <item x="50"/>
        <item x="141"/>
        <item x="96"/>
        <item x="113"/>
        <item x="69"/>
        <item x="19"/>
        <item x="143"/>
        <item x="16"/>
        <item x="33"/>
        <item x="109"/>
        <item x="51"/>
        <item x="184"/>
        <item x="147"/>
        <item x="131"/>
        <item x="56"/>
        <item x="133"/>
        <item x="130"/>
        <item x="163"/>
        <item x="152"/>
        <item x="185"/>
        <item x="41"/>
        <item x="0"/>
        <item x="70"/>
        <item x="93"/>
        <item x="180"/>
        <item x="62"/>
        <item x="129"/>
        <item x="80"/>
        <item x="171"/>
        <item x="39"/>
        <item x="83"/>
        <item x="181"/>
        <item x="172"/>
        <item x="52"/>
        <item x="119"/>
        <item x="55"/>
        <item x="123"/>
        <item x="95"/>
        <item x="37"/>
        <item x="82"/>
        <item x="110"/>
        <item x="190"/>
        <item x="32"/>
        <item x="38"/>
        <item x="91"/>
        <item x="64"/>
        <item x="188"/>
        <item x="74"/>
        <item x="146"/>
        <item x="121"/>
        <item x="44"/>
        <item x="104"/>
        <item x="125"/>
        <item x="14"/>
        <item x="186"/>
        <item x="35"/>
        <item x="90"/>
        <item x="144"/>
        <item x="164"/>
        <item x="179"/>
        <item x="170"/>
        <item x="166"/>
        <item x="159"/>
        <item x="97"/>
        <item x="128"/>
        <item x="158"/>
        <item x="63"/>
        <item x="178"/>
        <item x="189"/>
        <item x="75"/>
        <item x="36"/>
        <item x="77"/>
        <item x="53"/>
        <item x="5"/>
        <item x="11"/>
        <item x="134"/>
        <item x="92"/>
        <item x="25"/>
        <item x="65"/>
        <item x="6"/>
        <item x="1"/>
        <item x="54"/>
        <item x="89"/>
        <item x="187"/>
        <item x="112"/>
        <item x="160"/>
        <item x="105"/>
        <item x="145"/>
        <item x="156"/>
        <item x="59"/>
        <item x="46"/>
        <item x="42"/>
        <item x="167"/>
        <item x="31"/>
        <item x="135"/>
        <item x="174"/>
        <item x="18"/>
        <item x="8"/>
        <item x="13"/>
        <item x="85"/>
        <item x="4"/>
        <item x="103"/>
        <item x="58"/>
        <item x="10"/>
        <item x="45"/>
        <item x="22"/>
        <item x="15"/>
        <item x="100"/>
        <item x="122"/>
        <item x="107"/>
        <item x="79"/>
        <item x="150"/>
        <item x="136"/>
        <item x="175"/>
        <item x="177"/>
        <item x="81"/>
        <item x="183"/>
        <item x="137"/>
        <item x="24"/>
        <item x="111"/>
        <item x="114"/>
        <item x="153"/>
        <item x="60"/>
        <item x="176"/>
        <item x="87"/>
        <item x="28"/>
        <item x="67"/>
        <item x="173"/>
        <item x="61"/>
        <item x="2"/>
        <item x="3"/>
        <item x="149"/>
        <item x="140"/>
        <item x="154"/>
        <item x="132"/>
        <item x="2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0"/>
  </rowFields>
  <rowItems count="3">
    <i>
      <x/>
    </i>
    <i>
      <x v="1"/>
    </i>
    <i t="grand">
      <x/>
    </i>
  </rowItems>
  <colFields count="1">
    <field x="-2"/>
  </colFields>
  <colItems count="2">
    <i>
      <x/>
    </i>
    <i i="1">
      <x v="1"/>
    </i>
  </colItems>
  <dataFields count="2">
    <dataField name="Count of Employee_ID" fld="0" subtotal="count" baseField="0" baseItem="0"/>
    <dataField name="Count of Attrition" fld="10" subtotal="count" showDataAs="percentOfTotal" baseField="10" baseItem="0" numFmtId="1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0" count="1" selected="0">
            <x v="0"/>
          </reference>
        </references>
      </pivotArea>
    </chartFormat>
    <chartFormat chart="3" format="10">
      <pivotArea type="data" outline="0" fieldPosition="0">
        <references count="2">
          <reference field="4294967294" count="1" selected="0">
            <x v="0"/>
          </reference>
          <reference field="10"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10" count="1" selected="0">
            <x v="0"/>
          </reference>
        </references>
      </pivotArea>
    </chartFormat>
    <chartFormat chart="3" format="13">
      <pivotArea type="data" outline="0" fieldPosition="0">
        <references count="2">
          <reference field="4294967294"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458ADF-E8A4-4857-B14B-FCDD8F5C578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7" firstHeaderRow="1" firstDataRow="1" firstDataCol="1"/>
  <pivotFields count="19">
    <pivotField showAll="0"/>
    <pivotField showAll="0"/>
    <pivotField axis="axisRow" showAll="0">
      <items count="3">
        <item x="0"/>
        <item x="1"/>
        <item t="default"/>
      </items>
    </pivotField>
    <pivotField showAll="0"/>
    <pivotField showAll="0"/>
    <pivotField numFmtId="14" showAll="0"/>
    <pivotField showAll="0"/>
    <pivotField showAll="0"/>
    <pivotField dataField="1" showAll="0"/>
    <pivotField showAll="0"/>
    <pivotField showAll="0">
      <items count="3">
        <item x="0"/>
        <item x="1"/>
        <item t="default"/>
      </items>
    </pivotField>
    <pivotField showAll="0">
      <items count="5">
        <item x="1"/>
        <item x="3"/>
        <item x="0"/>
        <item x="2"/>
        <item t="default"/>
      </items>
    </pivotField>
    <pivotField numFmtId="14" showAll="0">
      <items count="193">
        <item x="30"/>
        <item x="88"/>
        <item x="68"/>
        <item x="73"/>
        <item x="151"/>
        <item x="84"/>
        <item x="43"/>
        <item x="17"/>
        <item x="7"/>
        <item x="98"/>
        <item x="66"/>
        <item x="124"/>
        <item x="120"/>
        <item x="47"/>
        <item x="157"/>
        <item x="142"/>
        <item x="78"/>
        <item x="27"/>
        <item x="116"/>
        <item x="9"/>
        <item x="108"/>
        <item x="34"/>
        <item x="155"/>
        <item x="94"/>
        <item x="169"/>
        <item x="26"/>
        <item x="148"/>
        <item x="115"/>
        <item x="117"/>
        <item x="99"/>
        <item x="76"/>
        <item x="165"/>
        <item x="86"/>
        <item x="71"/>
        <item x="29"/>
        <item x="118"/>
        <item x="161"/>
        <item x="102"/>
        <item x="162"/>
        <item x="12"/>
        <item x="72"/>
        <item x="168"/>
        <item x="126"/>
        <item x="106"/>
        <item x="138"/>
        <item x="139"/>
        <item x="21"/>
        <item x="57"/>
        <item x="48"/>
        <item x="40"/>
        <item x="191"/>
        <item x="127"/>
        <item x="101"/>
        <item x="182"/>
        <item x="23"/>
        <item x="49"/>
        <item x="50"/>
        <item x="141"/>
        <item x="96"/>
        <item x="113"/>
        <item x="69"/>
        <item x="19"/>
        <item x="143"/>
        <item x="16"/>
        <item x="33"/>
        <item x="109"/>
        <item x="51"/>
        <item x="184"/>
        <item x="147"/>
        <item x="131"/>
        <item x="56"/>
        <item x="133"/>
        <item x="130"/>
        <item x="163"/>
        <item x="152"/>
        <item x="185"/>
        <item x="41"/>
        <item x="0"/>
        <item x="70"/>
        <item x="93"/>
        <item x="180"/>
        <item x="62"/>
        <item x="129"/>
        <item x="80"/>
        <item x="171"/>
        <item x="39"/>
        <item x="83"/>
        <item x="181"/>
        <item x="172"/>
        <item x="52"/>
        <item x="119"/>
        <item x="55"/>
        <item x="123"/>
        <item x="95"/>
        <item x="37"/>
        <item x="82"/>
        <item x="110"/>
        <item x="190"/>
        <item x="32"/>
        <item x="38"/>
        <item x="91"/>
        <item x="64"/>
        <item x="188"/>
        <item x="74"/>
        <item x="146"/>
        <item x="121"/>
        <item x="44"/>
        <item x="104"/>
        <item x="125"/>
        <item x="14"/>
        <item x="186"/>
        <item x="35"/>
        <item x="90"/>
        <item x="144"/>
        <item x="164"/>
        <item x="179"/>
        <item x="170"/>
        <item x="166"/>
        <item x="159"/>
        <item x="97"/>
        <item x="128"/>
        <item x="158"/>
        <item x="63"/>
        <item x="178"/>
        <item x="189"/>
        <item x="75"/>
        <item x="36"/>
        <item x="77"/>
        <item x="53"/>
        <item x="5"/>
        <item x="11"/>
        <item x="134"/>
        <item x="92"/>
        <item x="25"/>
        <item x="65"/>
        <item x="6"/>
        <item x="1"/>
        <item x="54"/>
        <item x="89"/>
        <item x="187"/>
        <item x="112"/>
        <item x="160"/>
        <item x="105"/>
        <item x="145"/>
        <item x="156"/>
        <item x="59"/>
        <item x="46"/>
        <item x="42"/>
        <item x="167"/>
        <item x="31"/>
        <item x="135"/>
        <item x="174"/>
        <item x="18"/>
        <item x="8"/>
        <item x="13"/>
        <item x="85"/>
        <item x="4"/>
        <item x="103"/>
        <item x="58"/>
        <item x="10"/>
        <item x="45"/>
        <item x="22"/>
        <item x="15"/>
        <item x="100"/>
        <item x="122"/>
        <item x="107"/>
        <item x="79"/>
        <item x="150"/>
        <item x="136"/>
        <item x="175"/>
        <item x="177"/>
        <item x="81"/>
        <item x="183"/>
        <item x="137"/>
        <item x="24"/>
        <item x="111"/>
        <item x="114"/>
        <item x="153"/>
        <item x="60"/>
        <item x="176"/>
        <item x="87"/>
        <item x="28"/>
        <item x="67"/>
        <item x="173"/>
        <item x="61"/>
        <item x="2"/>
        <item x="3"/>
        <item x="149"/>
        <item x="140"/>
        <item x="154"/>
        <item x="132"/>
        <item x="2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3">
    <i>
      <x/>
    </i>
    <i>
      <x v="1"/>
    </i>
    <i t="grand">
      <x/>
    </i>
  </rowItems>
  <colItems count="1">
    <i/>
  </colItems>
  <dataFields count="1">
    <dataField name="Average of Attendance_%" fld="8" subtotal="average" baseField="13" baseItem="0"/>
  </dataFields>
  <formats count="1">
    <format dxfId="5">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61A505-0EF8-4B9D-BAB0-10D18528C84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G9" firstHeaderRow="1" firstDataRow="1" firstDataCol="1"/>
  <pivotFields count="19">
    <pivotField showAll="0"/>
    <pivotField showAll="0"/>
    <pivotField showAll="0">
      <items count="3">
        <item x="0"/>
        <item x="1"/>
        <item t="default"/>
      </items>
    </pivotField>
    <pivotField axis="axisRow" showAll="0">
      <items count="6">
        <item x="4"/>
        <item x="3"/>
        <item x="1"/>
        <item x="0"/>
        <item x="2"/>
        <item t="default"/>
      </items>
    </pivotField>
    <pivotField showAll="0"/>
    <pivotField numFmtId="14" showAll="0"/>
    <pivotField dataField="1" showAll="0"/>
    <pivotField showAll="0"/>
    <pivotField showAll="0"/>
    <pivotField showAll="0"/>
    <pivotField showAll="0">
      <items count="3">
        <item x="0"/>
        <item x="1"/>
        <item t="default"/>
      </items>
    </pivotField>
    <pivotField showAll="0">
      <items count="5">
        <item x="1"/>
        <item x="3"/>
        <item x="0"/>
        <item x="2"/>
        <item t="default"/>
      </items>
    </pivotField>
    <pivotField numFmtId="14" showAll="0">
      <items count="193">
        <item x="30"/>
        <item x="88"/>
        <item x="68"/>
        <item x="73"/>
        <item x="151"/>
        <item x="84"/>
        <item x="43"/>
        <item x="17"/>
        <item x="7"/>
        <item x="98"/>
        <item x="66"/>
        <item x="124"/>
        <item x="120"/>
        <item x="47"/>
        <item x="157"/>
        <item x="142"/>
        <item x="78"/>
        <item x="27"/>
        <item x="116"/>
        <item x="9"/>
        <item x="108"/>
        <item x="34"/>
        <item x="155"/>
        <item x="94"/>
        <item x="169"/>
        <item x="26"/>
        <item x="148"/>
        <item x="115"/>
        <item x="117"/>
        <item x="99"/>
        <item x="76"/>
        <item x="165"/>
        <item x="86"/>
        <item x="71"/>
        <item x="29"/>
        <item x="118"/>
        <item x="161"/>
        <item x="102"/>
        <item x="162"/>
        <item x="12"/>
        <item x="72"/>
        <item x="168"/>
        <item x="126"/>
        <item x="106"/>
        <item x="138"/>
        <item x="139"/>
        <item x="21"/>
        <item x="57"/>
        <item x="48"/>
        <item x="40"/>
        <item x="191"/>
        <item x="127"/>
        <item x="101"/>
        <item x="182"/>
        <item x="23"/>
        <item x="49"/>
        <item x="50"/>
        <item x="141"/>
        <item x="96"/>
        <item x="113"/>
        <item x="69"/>
        <item x="19"/>
        <item x="143"/>
        <item x="16"/>
        <item x="33"/>
        <item x="109"/>
        <item x="51"/>
        <item x="184"/>
        <item x="147"/>
        <item x="131"/>
        <item x="56"/>
        <item x="133"/>
        <item x="130"/>
        <item x="163"/>
        <item x="152"/>
        <item x="185"/>
        <item x="41"/>
        <item x="0"/>
        <item x="70"/>
        <item x="93"/>
        <item x="180"/>
        <item x="62"/>
        <item x="129"/>
        <item x="80"/>
        <item x="171"/>
        <item x="39"/>
        <item x="83"/>
        <item x="181"/>
        <item x="172"/>
        <item x="52"/>
        <item x="119"/>
        <item x="55"/>
        <item x="123"/>
        <item x="95"/>
        <item x="37"/>
        <item x="82"/>
        <item x="110"/>
        <item x="190"/>
        <item x="32"/>
        <item x="38"/>
        <item x="91"/>
        <item x="64"/>
        <item x="188"/>
        <item x="74"/>
        <item x="146"/>
        <item x="121"/>
        <item x="44"/>
        <item x="104"/>
        <item x="125"/>
        <item x="14"/>
        <item x="186"/>
        <item x="35"/>
        <item x="90"/>
        <item x="144"/>
        <item x="164"/>
        <item x="179"/>
        <item x="170"/>
        <item x="166"/>
        <item x="159"/>
        <item x="97"/>
        <item x="128"/>
        <item x="158"/>
        <item x="63"/>
        <item x="178"/>
        <item x="189"/>
        <item x="75"/>
        <item x="36"/>
        <item x="77"/>
        <item x="53"/>
        <item x="5"/>
        <item x="11"/>
        <item x="134"/>
        <item x="92"/>
        <item x="25"/>
        <item x="65"/>
        <item x="6"/>
        <item x="1"/>
        <item x="54"/>
        <item x="89"/>
        <item x="187"/>
        <item x="112"/>
        <item x="160"/>
        <item x="105"/>
        <item x="145"/>
        <item x="156"/>
        <item x="59"/>
        <item x="46"/>
        <item x="42"/>
        <item x="167"/>
        <item x="31"/>
        <item x="135"/>
        <item x="174"/>
        <item x="18"/>
        <item x="8"/>
        <item x="13"/>
        <item x="85"/>
        <item x="4"/>
        <item x="103"/>
        <item x="58"/>
        <item x="10"/>
        <item x="45"/>
        <item x="22"/>
        <item x="15"/>
        <item x="100"/>
        <item x="122"/>
        <item x="107"/>
        <item x="79"/>
        <item x="150"/>
        <item x="136"/>
        <item x="175"/>
        <item x="177"/>
        <item x="81"/>
        <item x="183"/>
        <item x="137"/>
        <item x="24"/>
        <item x="111"/>
        <item x="114"/>
        <item x="153"/>
        <item x="60"/>
        <item x="176"/>
        <item x="87"/>
        <item x="28"/>
        <item x="67"/>
        <item x="173"/>
        <item x="61"/>
        <item x="2"/>
        <item x="3"/>
        <item x="149"/>
        <item x="140"/>
        <item x="154"/>
        <item x="132"/>
        <item x="2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3"/>
  </rowFields>
  <rowItems count="6">
    <i>
      <x/>
    </i>
    <i>
      <x v="1"/>
    </i>
    <i>
      <x v="2"/>
    </i>
    <i>
      <x v="3"/>
    </i>
    <i>
      <x v="4"/>
    </i>
    <i t="grand">
      <x/>
    </i>
  </rowItems>
  <colItems count="1">
    <i/>
  </colItems>
  <dataFields count="1">
    <dataField name="Average of Salary" fld="6" subtotal="average" baseField="3" baseItem="0"/>
  </dataFields>
  <formats count="1">
    <format dxfId="6">
      <pivotArea collapsedLevelsAreSubtotals="1" fieldPosition="0">
        <references count="1">
          <reference field="3"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B4174E-87D0-4B55-8CF8-78276611ACE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13:K26" firstHeaderRow="1" firstDataRow="1" firstDataCol="1"/>
  <pivotFields count="19">
    <pivotField dataField="1" showAll="0"/>
    <pivotField showAll="0"/>
    <pivotField showAll="0">
      <items count="3">
        <item x="0"/>
        <item x="1"/>
        <item t="default"/>
      </items>
    </pivotField>
    <pivotField showAll="0"/>
    <pivotField showAll="0"/>
    <pivotField numFmtId="14" showAll="0"/>
    <pivotField showAll="0"/>
    <pivotField showAll="0"/>
    <pivotField showAll="0"/>
    <pivotField showAll="0"/>
    <pivotField axis="axisRow" showAll="0">
      <items count="3">
        <item x="0"/>
        <item x="1"/>
        <item t="default"/>
      </items>
    </pivotField>
    <pivotField axis="axisRow" showAll="0">
      <items count="5">
        <item x="1"/>
        <item x="3"/>
        <item x="0"/>
        <item x="2"/>
        <item t="default"/>
      </items>
    </pivotField>
    <pivotField numFmtId="14" showAll="0">
      <items count="193">
        <item x="30"/>
        <item x="88"/>
        <item x="68"/>
        <item x="73"/>
        <item x="151"/>
        <item x="84"/>
        <item x="43"/>
        <item x="17"/>
        <item x="7"/>
        <item x="98"/>
        <item x="66"/>
        <item x="124"/>
        <item x="120"/>
        <item x="47"/>
        <item x="157"/>
        <item x="142"/>
        <item x="78"/>
        <item x="27"/>
        <item x="116"/>
        <item x="9"/>
        <item x="108"/>
        <item x="34"/>
        <item x="155"/>
        <item x="94"/>
        <item x="169"/>
        <item x="26"/>
        <item x="148"/>
        <item x="115"/>
        <item x="117"/>
        <item x="99"/>
        <item x="76"/>
        <item x="165"/>
        <item x="86"/>
        <item x="71"/>
        <item x="29"/>
        <item x="118"/>
        <item x="161"/>
        <item x="102"/>
        <item x="162"/>
        <item x="12"/>
        <item x="72"/>
        <item x="168"/>
        <item x="126"/>
        <item x="106"/>
        <item x="138"/>
        <item x="139"/>
        <item x="21"/>
        <item x="57"/>
        <item x="48"/>
        <item x="40"/>
        <item x="191"/>
        <item x="127"/>
        <item x="101"/>
        <item x="182"/>
        <item x="23"/>
        <item x="49"/>
        <item x="50"/>
        <item x="141"/>
        <item x="96"/>
        <item x="113"/>
        <item x="69"/>
        <item x="19"/>
        <item x="143"/>
        <item x="16"/>
        <item x="33"/>
        <item x="109"/>
        <item x="51"/>
        <item x="184"/>
        <item x="147"/>
        <item x="131"/>
        <item x="56"/>
        <item x="133"/>
        <item x="130"/>
        <item x="163"/>
        <item x="152"/>
        <item x="185"/>
        <item x="41"/>
        <item x="0"/>
        <item x="70"/>
        <item x="93"/>
        <item x="180"/>
        <item x="62"/>
        <item x="129"/>
        <item x="80"/>
        <item x="171"/>
        <item x="39"/>
        <item x="83"/>
        <item x="181"/>
        <item x="172"/>
        <item x="52"/>
        <item x="119"/>
        <item x="55"/>
        <item x="123"/>
        <item x="95"/>
        <item x="37"/>
        <item x="82"/>
        <item x="110"/>
        <item x="190"/>
        <item x="32"/>
        <item x="38"/>
        <item x="91"/>
        <item x="64"/>
        <item x="188"/>
        <item x="74"/>
        <item x="146"/>
        <item x="121"/>
        <item x="44"/>
        <item x="104"/>
        <item x="125"/>
        <item x="14"/>
        <item x="186"/>
        <item x="35"/>
        <item x="90"/>
        <item x="144"/>
        <item x="164"/>
        <item x="179"/>
        <item x="170"/>
        <item x="166"/>
        <item x="159"/>
        <item x="97"/>
        <item x="128"/>
        <item x="158"/>
        <item x="63"/>
        <item x="178"/>
        <item x="189"/>
        <item x="75"/>
        <item x="36"/>
        <item x="77"/>
        <item x="53"/>
        <item x="5"/>
        <item x="11"/>
        <item x="134"/>
        <item x="92"/>
        <item x="25"/>
        <item x="65"/>
        <item x="6"/>
        <item x="1"/>
        <item x="54"/>
        <item x="89"/>
        <item x="187"/>
        <item x="112"/>
        <item x="160"/>
        <item x="105"/>
        <item x="145"/>
        <item x="156"/>
        <item x="59"/>
        <item x="46"/>
        <item x="42"/>
        <item x="167"/>
        <item x="31"/>
        <item x="135"/>
        <item x="174"/>
        <item x="18"/>
        <item x="8"/>
        <item x="13"/>
        <item x="85"/>
        <item x="4"/>
        <item x="103"/>
        <item x="58"/>
        <item x="10"/>
        <item x="45"/>
        <item x="22"/>
        <item x="15"/>
        <item x="100"/>
        <item x="122"/>
        <item x="107"/>
        <item x="79"/>
        <item x="150"/>
        <item x="136"/>
        <item x="175"/>
        <item x="177"/>
        <item x="81"/>
        <item x="183"/>
        <item x="137"/>
        <item x="24"/>
        <item x="111"/>
        <item x="114"/>
        <item x="153"/>
        <item x="60"/>
        <item x="176"/>
        <item x="87"/>
        <item x="28"/>
        <item x="67"/>
        <item x="173"/>
        <item x="61"/>
        <item x="2"/>
        <item x="3"/>
        <item x="149"/>
        <item x="140"/>
        <item x="154"/>
        <item x="132"/>
        <item x="2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2">
    <field x="11"/>
    <field x="10"/>
  </rowFields>
  <rowItems count="13">
    <i>
      <x/>
    </i>
    <i r="1">
      <x/>
    </i>
    <i r="1">
      <x v="1"/>
    </i>
    <i>
      <x v="1"/>
    </i>
    <i r="1">
      <x/>
    </i>
    <i r="1">
      <x v="1"/>
    </i>
    <i>
      <x v="2"/>
    </i>
    <i r="1">
      <x/>
    </i>
    <i r="1">
      <x v="1"/>
    </i>
    <i>
      <x v="3"/>
    </i>
    <i r="1">
      <x/>
    </i>
    <i r="1">
      <x v="1"/>
    </i>
    <i t="grand">
      <x/>
    </i>
  </rowItems>
  <colItems count="1">
    <i/>
  </colItems>
  <dataFields count="1">
    <dataField name="Count of Employee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356F55-6996-45AD-A64B-FB2260B4274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19">
    <pivotField dataField="1" showAll="0"/>
    <pivotField showAll="0"/>
    <pivotField showAll="0">
      <items count="3">
        <item x="0"/>
        <item x="1"/>
        <item t="default"/>
      </items>
    </pivotField>
    <pivotField showAll="0"/>
    <pivotField showAll="0"/>
    <pivotField numFmtId="14" showAll="0"/>
    <pivotField dataField="1" showAll="0"/>
    <pivotField dataField="1" showAll="0"/>
    <pivotField showAll="0"/>
    <pivotField dataField="1" showAll="0"/>
    <pivotField showAll="0">
      <items count="3">
        <item x="0"/>
        <item x="1"/>
        <item t="default"/>
      </items>
    </pivotField>
    <pivotField showAll="0">
      <items count="5">
        <item x="1"/>
        <item x="3"/>
        <item x="0"/>
        <item x="2"/>
        <item t="default"/>
      </items>
    </pivotField>
    <pivotField numFmtId="14" showAll="0">
      <items count="193">
        <item x="30"/>
        <item x="88"/>
        <item x="68"/>
        <item x="73"/>
        <item x="151"/>
        <item x="84"/>
        <item x="43"/>
        <item x="17"/>
        <item x="7"/>
        <item x="98"/>
        <item x="66"/>
        <item x="124"/>
        <item x="120"/>
        <item x="47"/>
        <item x="157"/>
        <item x="142"/>
        <item x="78"/>
        <item x="27"/>
        <item x="116"/>
        <item x="9"/>
        <item x="108"/>
        <item x="34"/>
        <item x="155"/>
        <item x="94"/>
        <item x="169"/>
        <item x="26"/>
        <item x="148"/>
        <item x="115"/>
        <item x="117"/>
        <item x="99"/>
        <item x="76"/>
        <item x="165"/>
        <item x="86"/>
        <item x="71"/>
        <item x="29"/>
        <item x="118"/>
        <item x="161"/>
        <item x="102"/>
        <item x="162"/>
        <item x="12"/>
        <item x="72"/>
        <item x="168"/>
        <item x="126"/>
        <item x="106"/>
        <item x="138"/>
        <item x="139"/>
        <item x="21"/>
        <item x="57"/>
        <item x="48"/>
        <item x="40"/>
        <item x="191"/>
        <item x="127"/>
        <item x="101"/>
        <item x="182"/>
        <item x="23"/>
        <item x="49"/>
        <item x="50"/>
        <item x="141"/>
        <item x="96"/>
        <item x="113"/>
        <item x="69"/>
        <item x="19"/>
        <item x="143"/>
        <item x="16"/>
        <item x="33"/>
        <item x="109"/>
        <item x="51"/>
        <item x="184"/>
        <item x="147"/>
        <item x="131"/>
        <item x="56"/>
        <item x="133"/>
        <item x="130"/>
        <item x="163"/>
        <item x="152"/>
        <item x="185"/>
        <item x="41"/>
        <item x="0"/>
        <item x="70"/>
        <item x="93"/>
        <item x="180"/>
        <item x="62"/>
        <item x="129"/>
        <item x="80"/>
        <item x="171"/>
        <item x="39"/>
        <item x="83"/>
        <item x="181"/>
        <item x="172"/>
        <item x="52"/>
        <item x="119"/>
        <item x="55"/>
        <item x="123"/>
        <item x="95"/>
        <item x="37"/>
        <item x="82"/>
        <item x="110"/>
        <item x="190"/>
        <item x="32"/>
        <item x="38"/>
        <item x="91"/>
        <item x="64"/>
        <item x="188"/>
        <item x="74"/>
        <item x="146"/>
        <item x="121"/>
        <item x="44"/>
        <item x="104"/>
        <item x="125"/>
        <item x="14"/>
        <item x="186"/>
        <item x="35"/>
        <item x="90"/>
        <item x="144"/>
        <item x="164"/>
        <item x="179"/>
        <item x="170"/>
        <item x="166"/>
        <item x="159"/>
        <item x="97"/>
        <item x="128"/>
        <item x="158"/>
        <item x="63"/>
        <item x="178"/>
        <item x="189"/>
        <item x="75"/>
        <item x="36"/>
        <item x="77"/>
        <item x="53"/>
        <item x="5"/>
        <item x="11"/>
        <item x="134"/>
        <item x="92"/>
        <item x="25"/>
        <item x="65"/>
        <item x="6"/>
        <item x="1"/>
        <item x="54"/>
        <item x="89"/>
        <item x="187"/>
        <item x="112"/>
        <item x="160"/>
        <item x="105"/>
        <item x="145"/>
        <item x="156"/>
        <item x="59"/>
        <item x="46"/>
        <item x="42"/>
        <item x="167"/>
        <item x="31"/>
        <item x="135"/>
        <item x="174"/>
        <item x="18"/>
        <item x="8"/>
        <item x="13"/>
        <item x="85"/>
        <item x="4"/>
        <item x="103"/>
        <item x="58"/>
        <item x="10"/>
        <item x="45"/>
        <item x="22"/>
        <item x="15"/>
        <item x="100"/>
        <item x="122"/>
        <item x="107"/>
        <item x="79"/>
        <item x="150"/>
        <item x="136"/>
        <item x="175"/>
        <item x="177"/>
        <item x="81"/>
        <item x="183"/>
        <item x="137"/>
        <item x="24"/>
        <item x="111"/>
        <item x="114"/>
        <item x="153"/>
        <item x="60"/>
        <item x="176"/>
        <item x="87"/>
        <item x="28"/>
        <item x="67"/>
        <item x="173"/>
        <item x="61"/>
        <item x="2"/>
        <item x="3"/>
        <item x="149"/>
        <item x="140"/>
        <item x="154"/>
        <item x="132"/>
        <item x="2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4">
    <i>
      <x/>
    </i>
    <i i="1">
      <x v="1"/>
    </i>
    <i i="2">
      <x v="2"/>
    </i>
    <i i="3">
      <x v="3"/>
    </i>
  </colItems>
  <dataFields count="4">
    <dataField name="Count of Employee_ID" fld="0" subtotal="count" baseField="0" baseItem="0"/>
    <dataField name="Average of Salary" fld="6" subtotal="average" baseField="0" baseItem="1" numFmtId="164"/>
    <dataField name="Average of Performance_Rating" fld="7" subtotal="average" baseField="0" baseItem="1" numFmtId="2"/>
    <dataField name="Average of Overtime_Hours" fld="9" subtotal="average" baseField="0" baseItem="1"/>
  </dataFields>
  <formats count="2">
    <format dxfId="8">
      <pivotArea outline="0" collapsedLevelsAreSubtotals="1" fieldPosition="0">
        <references count="1">
          <reference field="4294967294" count="1" selected="0">
            <x v="2"/>
          </reference>
        </references>
      </pivotArea>
    </format>
    <format dxfId="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3533ED3F-CAE1-4668-91C1-9B943B71B125}" sourceName="Attrition">
  <pivotTables>
    <pivotTable tabId="3" name="PivotTable3"/>
    <pivotTable tabId="3" name="PivotTable10"/>
    <pivotTable tabId="3" name="PivotTable11"/>
    <pivotTable tabId="3" name="PivotTable2"/>
    <pivotTable tabId="3" name="PivotTable4"/>
    <pivotTable tabId="3" name="PivotTable5"/>
    <pivotTable tabId="3" name="PivotTable6"/>
    <pivotTable tabId="3" name="PivotTable7"/>
    <pivotTable tabId="3" name="PivotTable8"/>
    <pivotTable tabId="3" name="PivotTable9"/>
  </pivotTables>
  <data>
    <tabular pivotCacheId="12290864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99FA9E9-0BF3-44A8-AD3F-FA2119F14100}" sourceName="Gender">
  <pivotTables>
    <pivotTable tabId="3" name="PivotTable2"/>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s>
  <data>
    <tabular pivotCacheId="122908648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7ABC77-F750-42A5-BF51-2EB830B88A79}" sourceName="Region">
  <pivotTables>
    <pivotTable tabId="3" name="PivotTable2"/>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s>
  <data>
    <tabular pivotCacheId="1229086483">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FB6B30A7-5134-44BE-9A2F-EA02796E4ABD}" cache="Slicer_Attrition" caption="Attrition" style="SlicerStyleDark1" rowHeight="241300"/>
  <slicer name="Gender" xr10:uid="{2342CC12-07A8-4FFC-971D-E7B8320E70CC}" cache="Slicer_Gender" caption="Gender" style="SlicerStyleDark1" rowHeight="241300"/>
  <slicer name="Region" xr10:uid="{2C094FC2-DB72-4BF9-B876-58BB5A23A70A}" cache="Slicer_Region" caption="Region"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3875A6-3894-430D-8F08-23195404ECBA}" name="Table1" displayName="Table1" ref="A1:P201" totalsRowShown="0">
  <autoFilter ref="A1:P201" xr:uid="{EA3875A6-3894-430D-8F08-23195404ECBA}"/>
  <tableColumns count="16">
    <tableColumn id="1" xr3:uid="{7EAE9D42-A68C-4B22-B7B5-004CA98E0D06}" name="Employee_ID"/>
    <tableColumn id="2" xr3:uid="{C39D563D-684F-4618-B463-3E48C93939AB}" name="Employee_Name"/>
    <tableColumn id="3" xr3:uid="{D869D441-6D81-4D1D-A682-F953073EA761}" name="Gender"/>
    <tableColumn id="4" xr3:uid="{B73BE9C8-23DC-4943-9157-1354B4D83805}" name="Department"/>
    <tableColumn id="5" xr3:uid="{95325B60-AF5E-4830-A36B-6C6D4D29BD60}" name="Job_Role"/>
    <tableColumn id="6" xr3:uid="{09A40354-F318-4C95-85F3-90F5E11DC07C}" name="Hire_Date" dataDxfId="4"/>
    <tableColumn id="7" xr3:uid="{DB50E0EC-8275-41E8-A431-E70260C12BB8}" name="Salary"/>
    <tableColumn id="8" xr3:uid="{1D3D40B0-3EFD-44FC-BB10-B0E323E30F38}" name="Performance_Rating"/>
    <tableColumn id="9" xr3:uid="{D5DF623F-4893-403D-BCC3-87AAFE63D9DE}" name="Attendance_%"/>
    <tableColumn id="10" xr3:uid="{9C37834E-0DF0-40AF-B98C-57CACBF15D12}" name="Overtime_Hours"/>
    <tableColumn id="11" xr3:uid="{72C351ED-55E0-4985-90D7-36521B3BB450}" name="Attrition"/>
    <tableColumn id="12" xr3:uid="{FE7BBBF0-0A8C-4162-88CD-DCA6011A6E66}" name="Region"/>
    <tableColumn id="13" xr3:uid="{422AFC7E-C81D-4496-BB6C-BE9394E0A0A5}" name="Year" dataDxfId="3">
      <calculatedColumnFormula>Table1[[#This Row],[Hire_Date]]</calculatedColumnFormula>
    </tableColumn>
    <tableColumn id="14" xr3:uid="{FB260747-DBE9-42C8-B5EA-713F5743AC8D}" name="Month" dataDxfId="2">
      <calculatedColumnFormula>MONTH(Table1[[#This Row],[Hire_Date]])</calculatedColumnFormula>
    </tableColumn>
    <tableColumn id="15" xr3:uid="{A557430D-C76D-43AC-80DA-F43524E5BC0E}" name="Month_Name" dataDxfId="1">
      <calculatedColumnFormula>TEXT(Table1[[#This Row],[Hire_Date]],"mmmm")</calculatedColumnFormula>
    </tableColumn>
    <tableColumn id="16" xr3:uid="{E111DC4C-0264-40C7-BAD3-3D494AF72169}" name="Salary_Band" dataDxfId="0">
      <calculatedColumnFormula>IF(Table1[[#This Row],[Salary]]&lt;40000,"Low",IF(Table1[[#This Row],[Salary]]&lt;70000,"Medium",IF(Table1[[#This Row],[Salary]]&gt;70000,"High")))</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E49D4-E53F-405A-B546-5B6FB83658A9}">
  <dimension ref="A1:K38"/>
  <sheetViews>
    <sheetView topLeftCell="D2" zoomScale="94" workbookViewId="0">
      <selection activeCell="C8" sqref="C8"/>
    </sheetView>
  </sheetViews>
  <sheetFormatPr defaultRowHeight="14.5" x14ac:dyDescent="0.35"/>
  <cols>
    <col min="1" max="1" width="12.7265625" bestFit="1" customWidth="1"/>
    <col min="2" max="2" width="19.81640625" bestFit="1" customWidth="1"/>
    <col min="3" max="3" width="28" bestFit="1" customWidth="1"/>
    <col min="4" max="4" width="12.7265625" bestFit="1" customWidth="1"/>
    <col min="5" max="5" width="15.81640625" bestFit="1" customWidth="1"/>
    <col min="6" max="6" width="12.7265625" bestFit="1" customWidth="1"/>
    <col min="7" max="7" width="19.6328125" bestFit="1" customWidth="1"/>
    <col min="8" max="8" width="19.81640625" bestFit="1" customWidth="1"/>
    <col min="9" max="10" width="12.7265625" bestFit="1" customWidth="1"/>
    <col min="11" max="11" width="19.81640625" bestFit="1" customWidth="1"/>
  </cols>
  <sheetData>
    <row r="1" spans="1:11" x14ac:dyDescent="0.35">
      <c r="A1" t="s">
        <v>411</v>
      </c>
      <c r="B1" t="s">
        <v>413</v>
      </c>
      <c r="C1" t="s">
        <v>416</v>
      </c>
      <c r="D1" t="s">
        <v>415</v>
      </c>
    </row>
    <row r="2" spans="1:11" x14ac:dyDescent="0.35">
      <c r="A2">
        <v>200</v>
      </c>
      <c r="B2" s="7">
        <v>76174.960000000006</v>
      </c>
      <c r="C2" s="5">
        <v>2.875</v>
      </c>
      <c r="D2">
        <v>19.21</v>
      </c>
    </row>
    <row r="3" spans="1:11" x14ac:dyDescent="0.35">
      <c r="F3" s="2" t="s">
        <v>409</v>
      </c>
      <c r="G3" t="s">
        <v>413</v>
      </c>
      <c r="I3" s="2" t="s">
        <v>409</v>
      </c>
      <c r="J3" t="s">
        <v>411</v>
      </c>
    </row>
    <row r="4" spans="1:11" x14ac:dyDescent="0.35">
      <c r="F4" s="3" t="s">
        <v>44</v>
      </c>
      <c r="G4" s="5">
        <v>73782.527777777781</v>
      </c>
      <c r="I4" s="3">
        <v>1</v>
      </c>
      <c r="J4">
        <v>48</v>
      </c>
    </row>
    <row r="5" spans="1:11" x14ac:dyDescent="0.35">
      <c r="F5" s="3" t="s">
        <v>31</v>
      </c>
      <c r="G5" s="5">
        <v>72282.5945945946</v>
      </c>
      <c r="I5" s="3">
        <v>2</v>
      </c>
      <c r="J5">
        <v>38</v>
      </c>
    </row>
    <row r="6" spans="1:11" x14ac:dyDescent="0.35">
      <c r="F6" s="3" t="s">
        <v>21</v>
      </c>
      <c r="G6" s="5">
        <v>72520.333333333328</v>
      </c>
      <c r="I6" s="3">
        <v>3</v>
      </c>
      <c r="J6">
        <v>41</v>
      </c>
    </row>
    <row r="7" spans="1:11" x14ac:dyDescent="0.35">
      <c r="A7" s="2" t="s">
        <v>409</v>
      </c>
      <c r="B7" t="s">
        <v>411</v>
      </c>
      <c r="C7" t="s">
        <v>412</v>
      </c>
      <c r="F7" s="3" t="s">
        <v>15</v>
      </c>
      <c r="G7" s="5">
        <v>81002.363636363632</v>
      </c>
      <c r="I7" s="3">
        <v>4</v>
      </c>
      <c r="J7">
        <v>37</v>
      </c>
    </row>
    <row r="8" spans="1:11" x14ac:dyDescent="0.35">
      <c r="A8" s="3" t="s">
        <v>17</v>
      </c>
      <c r="B8">
        <v>106</v>
      </c>
      <c r="C8" s="4">
        <v>0.53</v>
      </c>
      <c r="F8" s="3" t="s">
        <v>26</v>
      </c>
      <c r="G8" s="5">
        <v>80351.390243902439</v>
      </c>
      <c r="I8" s="3">
        <v>5</v>
      </c>
      <c r="J8">
        <v>36</v>
      </c>
    </row>
    <row r="9" spans="1:11" x14ac:dyDescent="0.35">
      <c r="A9" s="3" t="s">
        <v>33</v>
      </c>
      <c r="B9">
        <v>94</v>
      </c>
      <c r="C9" s="4">
        <v>0.47</v>
      </c>
      <c r="F9" s="3" t="s">
        <v>410</v>
      </c>
      <c r="G9">
        <v>76174.960000000006</v>
      </c>
      <c r="I9" s="3" t="s">
        <v>410</v>
      </c>
      <c r="J9">
        <v>200</v>
      </c>
    </row>
    <row r="10" spans="1:11" x14ac:dyDescent="0.35">
      <c r="A10" s="3" t="s">
        <v>410</v>
      </c>
      <c r="B10">
        <v>200</v>
      </c>
      <c r="C10" s="4">
        <v>1</v>
      </c>
    </row>
    <row r="13" spans="1:11" x14ac:dyDescent="0.35">
      <c r="J13" s="2" t="s">
        <v>409</v>
      </c>
      <c r="K13" t="s">
        <v>411</v>
      </c>
    </row>
    <row r="14" spans="1:11" x14ac:dyDescent="0.35">
      <c r="A14" s="2" t="s">
        <v>409</v>
      </c>
      <c r="B14" t="s">
        <v>414</v>
      </c>
      <c r="F14" s="2" t="s">
        <v>409</v>
      </c>
      <c r="G14" t="s">
        <v>428</v>
      </c>
      <c r="J14" s="3" t="s">
        <v>23</v>
      </c>
      <c r="K14">
        <v>53</v>
      </c>
    </row>
    <row r="15" spans="1:11" x14ac:dyDescent="0.35">
      <c r="A15" s="3" t="s">
        <v>14</v>
      </c>
      <c r="B15" s="5">
        <v>86.979456521739124</v>
      </c>
      <c r="F15" s="3" t="s">
        <v>14</v>
      </c>
      <c r="G15" s="4">
        <v>0.45416086108896087</v>
      </c>
      <c r="J15" s="6" t="s">
        <v>17</v>
      </c>
      <c r="K15">
        <v>29</v>
      </c>
    </row>
    <row r="16" spans="1:11" x14ac:dyDescent="0.35">
      <c r="A16" s="3" t="s">
        <v>39</v>
      </c>
      <c r="B16" s="5">
        <v>89.050370370370359</v>
      </c>
      <c r="F16" s="3" t="s">
        <v>39</v>
      </c>
      <c r="G16" s="4">
        <v>0.54583913891103919</v>
      </c>
      <c r="J16" s="6" t="s">
        <v>33</v>
      </c>
      <c r="K16">
        <v>24</v>
      </c>
    </row>
    <row r="17" spans="1:11" x14ac:dyDescent="0.35">
      <c r="A17" s="3" t="s">
        <v>410</v>
      </c>
      <c r="B17">
        <v>88.097749999999991</v>
      </c>
      <c r="F17" s="3" t="s">
        <v>410</v>
      </c>
      <c r="G17" s="4">
        <v>1</v>
      </c>
      <c r="J17" s="3" t="s">
        <v>34</v>
      </c>
      <c r="K17">
        <v>62</v>
      </c>
    </row>
    <row r="18" spans="1:11" x14ac:dyDescent="0.35">
      <c r="J18" s="6" t="s">
        <v>17</v>
      </c>
      <c r="K18">
        <v>33</v>
      </c>
    </row>
    <row r="19" spans="1:11" x14ac:dyDescent="0.35">
      <c r="J19" s="6" t="s">
        <v>33</v>
      </c>
      <c r="K19">
        <v>29</v>
      </c>
    </row>
    <row r="20" spans="1:11" x14ac:dyDescent="0.35">
      <c r="J20" s="3" t="s">
        <v>18</v>
      </c>
      <c r="K20">
        <v>45</v>
      </c>
    </row>
    <row r="21" spans="1:11" x14ac:dyDescent="0.35">
      <c r="J21" s="6" t="s">
        <v>17</v>
      </c>
      <c r="K21">
        <v>23</v>
      </c>
    </row>
    <row r="22" spans="1:11" x14ac:dyDescent="0.35">
      <c r="A22" s="2" t="s">
        <v>409</v>
      </c>
      <c r="B22" t="s">
        <v>411</v>
      </c>
      <c r="D22" s="2" t="s">
        <v>409</v>
      </c>
      <c r="E22" t="s">
        <v>412</v>
      </c>
      <c r="G22" s="2" t="s">
        <v>409</v>
      </c>
      <c r="H22" t="s">
        <v>411</v>
      </c>
      <c r="J22" s="6" t="s">
        <v>33</v>
      </c>
      <c r="K22">
        <v>22</v>
      </c>
    </row>
    <row r="23" spans="1:11" x14ac:dyDescent="0.35">
      <c r="A23" s="3" t="s">
        <v>417</v>
      </c>
      <c r="B23">
        <v>26</v>
      </c>
      <c r="D23" s="3" t="s">
        <v>44</v>
      </c>
      <c r="E23">
        <v>36</v>
      </c>
      <c r="G23" s="3" t="s">
        <v>425</v>
      </c>
      <c r="H23">
        <v>115</v>
      </c>
      <c r="J23" s="3" t="s">
        <v>28</v>
      </c>
      <c r="K23">
        <v>40</v>
      </c>
    </row>
    <row r="24" spans="1:11" x14ac:dyDescent="0.35">
      <c r="A24" s="3" t="s">
        <v>418</v>
      </c>
      <c r="B24">
        <v>28</v>
      </c>
      <c r="D24" s="6" t="s">
        <v>17</v>
      </c>
      <c r="E24">
        <v>19</v>
      </c>
      <c r="G24" s="6" t="s">
        <v>17</v>
      </c>
      <c r="H24">
        <v>56</v>
      </c>
      <c r="J24" s="6" t="s">
        <v>17</v>
      </c>
      <c r="K24">
        <v>21</v>
      </c>
    </row>
    <row r="25" spans="1:11" x14ac:dyDescent="0.35">
      <c r="A25" s="3" t="s">
        <v>419</v>
      </c>
      <c r="B25">
        <v>31</v>
      </c>
      <c r="D25" s="6" t="s">
        <v>33</v>
      </c>
      <c r="E25">
        <v>17</v>
      </c>
      <c r="G25" s="6" t="s">
        <v>33</v>
      </c>
      <c r="H25">
        <v>59</v>
      </c>
      <c r="J25" s="6" t="s">
        <v>33</v>
      </c>
      <c r="K25">
        <v>19</v>
      </c>
    </row>
    <row r="26" spans="1:11" x14ac:dyDescent="0.35">
      <c r="A26" s="3" t="s">
        <v>420</v>
      </c>
      <c r="B26">
        <v>27</v>
      </c>
      <c r="D26" s="3" t="s">
        <v>31</v>
      </c>
      <c r="E26">
        <v>37</v>
      </c>
      <c r="G26" s="3" t="s">
        <v>426</v>
      </c>
      <c r="H26">
        <v>23</v>
      </c>
      <c r="J26" s="3" t="s">
        <v>410</v>
      </c>
      <c r="K26">
        <v>200</v>
      </c>
    </row>
    <row r="27" spans="1:11" x14ac:dyDescent="0.35">
      <c r="A27" s="3" t="s">
        <v>421</v>
      </c>
      <c r="B27">
        <v>31</v>
      </c>
      <c r="D27" s="6" t="s">
        <v>17</v>
      </c>
      <c r="E27">
        <v>26</v>
      </c>
      <c r="G27" s="6" t="s">
        <v>17</v>
      </c>
      <c r="H27">
        <v>16</v>
      </c>
    </row>
    <row r="28" spans="1:11" x14ac:dyDescent="0.35">
      <c r="A28" s="3" t="s">
        <v>422</v>
      </c>
      <c r="B28">
        <v>30</v>
      </c>
      <c r="D28" s="6" t="s">
        <v>33</v>
      </c>
      <c r="E28">
        <v>11</v>
      </c>
      <c r="G28" s="6" t="s">
        <v>33</v>
      </c>
      <c r="H28">
        <v>7</v>
      </c>
    </row>
    <row r="29" spans="1:11" x14ac:dyDescent="0.35">
      <c r="A29" s="3" t="s">
        <v>423</v>
      </c>
      <c r="B29">
        <v>27</v>
      </c>
      <c r="D29" s="3" t="s">
        <v>21</v>
      </c>
      <c r="E29">
        <v>42</v>
      </c>
      <c r="G29" s="3" t="s">
        <v>427</v>
      </c>
      <c r="H29">
        <v>62</v>
      </c>
    </row>
    <row r="30" spans="1:11" x14ac:dyDescent="0.35">
      <c r="A30" s="3" t="s">
        <v>410</v>
      </c>
      <c r="B30">
        <v>200</v>
      </c>
      <c r="D30" s="6" t="s">
        <v>17</v>
      </c>
      <c r="E30">
        <v>23</v>
      </c>
      <c r="G30" s="6" t="s">
        <v>17</v>
      </c>
      <c r="H30">
        <v>34</v>
      </c>
    </row>
    <row r="31" spans="1:11" x14ac:dyDescent="0.35">
      <c r="D31" s="6" t="s">
        <v>33</v>
      </c>
      <c r="E31">
        <v>19</v>
      </c>
      <c r="G31" s="6" t="s">
        <v>33</v>
      </c>
      <c r="H31">
        <v>28</v>
      </c>
    </row>
    <row r="32" spans="1:11" x14ac:dyDescent="0.35">
      <c r="D32" s="3" t="s">
        <v>15</v>
      </c>
      <c r="E32">
        <v>44</v>
      </c>
      <c r="G32" s="3" t="s">
        <v>410</v>
      </c>
      <c r="H32">
        <v>200</v>
      </c>
    </row>
    <row r="33" spans="4:5" x14ac:dyDescent="0.35">
      <c r="D33" s="6" t="s">
        <v>17</v>
      </c>
      <c r="E33">
        <v>22</v>
      </c>
    </row>
    <row r="34" spans="4:5" x14ac:dyDescent="0.35">
      <c r="D34" s="6" t="s">
        <v>33</v>
      </c>
      <c r="E34">
        <v>22</v>
      </c>
    </row>
    <row r="35" spans="4:5" x14ac:dyDescent="0.35">
      <c r="D35" s="3" t="s">
        <v>26</v>
      </c>
      <c r="E35">
        <v>41</v>
      </c>
    </row>
    <row r="36" spans="4:5" x14ac:dyDescent="0.35">
      <c r="D36" s="6" t="s">
        <v>17</v>
      </c>
      <c r="E36">
        <v>16</v>
      </c>
    </row>
    <row r="37" spans="4:5" x14ac:dyDescent="0.35">
      <c r="D37" s="6" t="s">
        <v>33</v>
      </c>
      <c r="E37">
        <v>25</v>
      </c>
    </row>
    <row r="38" spans="4:5" x14ac:dyDescent="0.35">
      <c r="D38" s="3" t="s">
        <v>410</v>
      </c>
      <c r="E38">
        <v>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topLeftCell="I1" workbookViewId="0">
      <selection activeCell="S15" sqref="S15"/>
    </sheetView>
  </sheetViews>
  <sheetFormatPr defaultRowHeight="14.5" x14ac:dyDescent="0.35"/>
  <cols>
    <col min="1" max="1" width="13.81640625" customWidth="1"/>
    <col min="2" max="2" width="16.90625" customWidth="1"/>
    <col min="3" max="3" width="9" customWidth="1"/>
    <col min="4" max="4" width="13.08984375" customWidth="1"/>
    <col min="5" max="5" width="10.26953125" customWidth="1"/>
    <col min="6" max="6" width="16.7265625" bestFit="1" customWidth="1"/>
    <col min="7" max="7" width="7.81640625" customWidth="1"/>
    <col min="8" max="8" width="19.90625" customWidth="1"/>
    <col min="9" max="9" width="15" customWidth="1"/>
    <col min="10" max="10" width="16.6328125" customWidth="1"/>
    <col min="11" max="11" width="10" customWidth="1"/>
    <col min="13" max="13" width="10.08984375" bestFit="1" customWidth="1"/>
    <col min="15" max="15" width="14.7265625" bestFit="1" customWidth="1"/>
  </cols>
  <sheetData>
    <row r="1" spans="1:16" x14ac:dyDescent="0.35">
      <c r="A1" t="s">
        <v>0</v>
      </c>
      <c r="B1" t="s">
        <v>1</v>
      </c>
      <c r="C1" t="s">
        <v>2</v>
      </c>
      <c r="D1" t="s">
        <v>3</v>
      </c>
      <c r="E1" t="s">
        <v>4</v>
      </c>
      <c r="F1" s="1" t="s">
        <v>5</v>
      </c>
      <c r="G1" t="s">
        <v>6</v>
      </c>
      <c r="H1" t="s">
        <v>7</v>
      </c>
      <c r="I1" t="s">
        <v>8</v>
      </c>
      <c r="J1" t="s">
        <v>9</v>
      </c>
      <c r="K1" t="s">
        <v>10</v>
      </c>
      <c r="L1" t="s">
        <v>11</v>
      </c>
      <c r="M1" t="s">
        <v>406</v>
      </c>
      <c r="N1" t="s">
        <v>407</v>
      </c>
      <c r="O1" t="s">
        <v>408</v>
      </c>
      <c r="P1" t="s">
        <v>424</v>
      </c>
    </row>
    <row r="2" spans="1:16" x14ac:dyDescent="0.35">
      <c r="A2" t="s">
        <v>12</v>
      </c>
      <c r="B2" t="s">
        <v>13</v>
      </c>
      <c r="C2" t="s">
        <v>14</v>
      </c>
      <c r="D2" t="s">
        <v>15</v>
      </c>
      <c r="E2" t="s">
        <v>16</v>
      </c>
      <c r="F2" s="1">
        <v>44138</v>
      </c>
      <c r="G2">
        <v>76079</v>
      </c>
      <c r="H2">
        <v>5</v>
      </c>
      <c r="I2">
        <v>85.46</v>
      </c>
      <c r="J2">
        <v>22</v>
      </c>
      <c r="K2" t="s">
        <v>17</v>
      </c>
      <c r="L2" t="s">
        <v>18</v>
      </c>
      <c r="M2" s="1">
        <f>Table1[[#This Row],[Hire_Date]]</f>
        <v>44138</v>
      </c>
      <c r="N2">
        <f>MONTH(Table1[[#This Row],[Hire_Date]])</f>
        <v>11</v>
      </c>
      <c r="O2" t="str">
        <f>TEXT(Table1[[#This Row],[Hire_Date]],"mmmm")</f>
        <v>November</v>
      </c>
      <c r="P2" t="str">
        <f>IF(Table1[[#This Row],[Salary]]&lt;40000,"Low",IF(Table1[[#This Row],[Salary]]&lt;70000,"Medium",IF(Table1[[#This Row],[Salary]]&gt;70000,"High")))</f>
        <v>High</v>
      </c>
    </row>
    <row r="3" spans="1:16" x14ac:dyDescent="0.35">
      <c r="A3" t="s">
        <v>19</v>
      </c>
      <c r="B3" t="s">
        <v>20</v>
      </c>
      <c r="C3" t="s">
        <v>14</v>
      </c>
      <c r="D3" t="s">
        <v>21</v>
      </c>
      <c r="E3" t="s">
        <v>22</v>
      </c>
      <c r="F3" s="1">
        <v>44906</v>
      </c>
      <c r="G3">
        <v>28981</v>
      </c>
      <c r="H3">
        <v>2</v>
      </c>
      <c r="I3">
        <v>94.46</v>
      </c>
      <c r="J3">
        <v>2</v>
      </c>
      <c r="K3" t="s">
        <v>17</v>
      </c>
      <c r="L3" t="s">
        <v>23</v>
      </c>
      <c r="M3" s="1">
        <f>Table1[[#This Row],[Hire_Date]]</f>
        <v>44906</v>
      </c>
      <c r="N3">
        <f>MONTH(Table1[[#This Row],[Hire_Date]])</f>
        <v>12</v>
      </c>
      <c r="O3" t="str">
        <f>TEXT(Table1[[#This Row],[Hire_Date]],"mmmm")</f>
        <v>December</v>
      </c>
      <c r="P3" t="str">
        <f>IF(Table1[[#This Row],[Salary]]&lt;40000,"Low",IF(Table1[[#This Row],[Salary]]&lt;70000,"Medium",IF(Table1[[#This Row],[Salary]]&gt;70000,"High")))</f>
        <v>Low</v>
      </c>
    </row>
    <row r="4" spans="1:16" x14ac:dyDescent="0.35">
      <c r="A4" t="s">
        <v>24</v>
      </c>
      <c r="B4" t="s">
        <v>25</v>
      </c>
      <c r="C4" t="s">
        <v>14</v>
      </c>
      <c r="D4" t="s">
        <v>26</v>
      </c>
      <c r="E4" t="s">
        <v>27</v>
      </c>
      <c r="F4" s="1">
        <v>45536</v>
      </c>
      <c r="G4">
        <v>70926</v>
      </c>
      <c r="H4">
        <v>4</v>
      </c>
      <c r="I4">
        <v>94.21</v>
      </c>
      <c r="J4">
        <v>38</v>
      </c>
      <c r="K4" t="s">
        <v>17</v>
      </c>
      <c r="L4" t="s">
        <v>28</v>
      </c>
      <c r="M4" s="1">
        <f>Table1[[#This Row],[Hire_Date]]</f>
        <v>45536</v>
      </c>
      <c r="N4">
        <f>MONTH(Table1[[#This Row],[Hire_Date]])</f>
        <v>9</v>
      </c>
      <c r="O4" t="str">
        <f>TEXT(Table1[[#This Row],[Hire_Date]],"mmmm")</f>
        <v>September</v>
      </c>
      <c r="P4" t="str">
        <f>IF(Table1[[#This Row],[Salary]]&lt;40000,"Low",IF(Table1[[#This Row],[Salary]]&lt;70000,"Medium",IF(Table1[[#This Row],[Salary]]&gt;70000,"High")))</f>
        <v>High</v>
      </c>
    </row>
    <row r="5" spans="1:16" x14ac:dyDescent="0.35">
      <c r="A5" t="s">
        <v>29</v>
      </c>
      <c r="B5" t="s">
        <v>30</v>
      </c>
      <c r="C5" t="s">
        <v>14</v>
      </c>
      <c r="D5" t="s">
        <v>31</v>
      </c>
      <c r="E5" t="s">
        <v>32</v>
      </c>
      <c r="F5" s="1">
        <v>45551</v>
      </c>
      <c r="G5">
        <v>114846</v>
      </c>
      <c r="H5">
        <v>1</v>
      </c>
      <c r="I5">
        <v>85.31</v>
      </c>
      <c r="J5">
        <v>2</v>
      </c>
      <c r="K5" t="s">
        <v>33</v>
      </c>
      <c r="L5" t="s">
        <v>34</v>
      </c>
      <c r="M5" s="1">
        <f>Table1[[#This Row],[Hire_Date]]</f>
        <v>45551</v>
      </c>
      <c r="N5">
        <f>MONTH(Table1[[#This Row],[Hire_Date]])</f>
        <v>9</v>
      </c>
      <c r="O5" t="str">
        <f>TEXT(Table1[[#This Row],[Hire_Date]],"mmmm")</f>
        <v>September</v>
      </c>
      <c r="P5" t="str">
        <f>IF(Table1[[#This Row],[Salary]]&lt;40000,"Low",IF(Table1[[#This Row],[Salary]]&lt;70000,"Medium",IF(Table1[[#This Row],[Salary]]&gt;70000,"High")))</f>
        <v>High</v>
      </c>
    </row>
    <row r="6" spans="1:16" x14ac:dyDescent="0.35">
      <c r="A6" t="s">
        <v>35</v>
      </c>
      <c r="B6" t="s">
        <v>36</v>
      </c>
      <c r="C6" t="s">
        <v>14</v>
      </c>
      <c r="D6" t="s">
        <v>15</v>
      </c>
      <c r="E6" t="s">
        <v>16</v>
      </c>
      <c r="F6" s="1">
        <v>45161</v>
      </c>
      <c r="G6">
        <v>84060</v>
      </c>
      <c r="H6">
        <v>4</v>
      </c>
      <c r="I6">
        <v>97.4</v>
      </c>
      <c r="J6">
        <v>19</v>
      </c>
      <c r="K6" t="s">
        <v>33</v>
      </c>
      <c r="L6" t="s">
        <v>28</v>
      </c>
      <c r="M6" s="1">
        <f>Table1[[#This Row],[Hire_Date]]</f>
        <v>45161</v>
      </c>
      <c r="N6">
        <f>MONTH(Table1[[#This Row],[Hire_Date]])</f>
        <v>8</v>
      </c>
      <c r="O6" t="str">
        <f>TEXT(Table1[[#This Row],[Hire_Date]],"mmmm")</f>
        <v>August</v>
      </c>
      <c r="P6" t="str">
        <f>IF(Table1[[#This Row],[Salary]]&lt;40000,"Low",IF(Table1[[#This Row],[Salary]]&lt;70000,"Medium",IF(Table1[[#This Row],[Salary]]&gt;70000,"High")))</f>
        <v>High</v>
      </c>
    </row>
    <row r="7" spans="1:16" x14ac:dyDescent="0.35">
      <c r="A7" t="s">
        <v>37</v>
      </c>
      <c r="B7" t="s">
        <v>38</v>
      </c>
      <c r="C7" t="s">
        <v>39</v>
      </c>
      <c r="D7" t="s">
        <v>31</v>
      </c>
      <c r="E7" t="s">
        <v>22</v>
      </c>
      <c r="F7" s="1">
        <v>44822</v>
      </c>
      <c r="G7">
        <v>58729</v>
      </c>
      <c r="H7">
        <v>1</v>
      </c>
      <c r="I7">
        <v>83.84</v>
      </c>
      <c r="J7">
        <v>22</v>
      </c>
      <c r="K7" t="s">
        <v>17</v>
      </c>
      <c r="L7" t="s">
        <v>28</v>
      </c>
      <c r="M7" s="1">
        <f>Table1[[#This Row],[Hire_Date]]</f>
        <v>44822</v>
      </c>
      <c r="N7">
        <f>MONTH(Table1[[#This Row],[Hire_Date]])</f>
        <v>9</v>
      </c>
      <c r="O7" t="str">
        <f>TEXT(Table1[[#This Row],[Hire_Date]],"mmmm")</f>
        <v>September</v>
      </c>
      <c r="P7" t="str">
        <f>IF(Table1[[#This Row],[Salary]]&lt;40000,"Low",IF(Table1[[#This Row],[Salary]]&lt;70000,"Medium",IF(Table1[[#This Row],[Salary]]&gt;70000,"High")))</f>
        <v>Medium</v>
      </c>
    </row>
    <row r="8" spans="1:16" x14ac:dyDescent="0.35">
      <c r="A8" t="s">
        <v>40</v>
      </c>
      <c r="B8" t="s">
        <v>41</v>
      </c>
      <c r="C8" t="s">
        <v>39</v>
      </c>
      <c r="D8" t="s">
        <v>26</v>
      </c>
      <c r="E8" t="s">
        <v>32</v>
      </c>
      <c r="F8" s="1">
        <v>44892</v>
      </c>
      <c r="G8">
        <v>117556</v>
      </c>
      <c r="H8">
        <v>2</v>
      </c>
      <c r="I8">
        <v>85.41</v>
      </c>
      <c r="J8">
        <v>29</v>
      </c>
      <c r="K8" t="s">
        <v>33</v>
      </c>
      <c r="L8" t="s">
        <v>34</v>
      </c>
      <c r="M8" s="1">
        <f>Table1[[#This Row],[Hire_Date]]</f>
        <v>44892</v>
      </c>
      <c r="N8">
        <f>MONTH(Table1[[#This Row],[Hire_Date]])</f>
        <v>11</v>
      </c>
      <c r="O8" t="str">
        <f>TEXT(Table1[[#This Row],[Hire_Date]],"mmmm")</f>
        <v>November</v>
      </c>
      <c r="P8" t="str">
        <f>IF(Table1[[#This Row],[Salary]]&lt;40000,"Low",IF(Table1[[#This Row],[Salary]]&lt;70000,"Medium",IF(Table1[[#This Row],[Salary]]&gt;70000,"High")))</f>
        <v>High</v>
      </c>
    </row>
    <row r="9" spans="1:16" x14ac:dyDescent="0.35">
      <c r="A9" t="s">
        <v>42</v>
      </c>
      <c r="B9" t="s">
        <v>43</v>
      </c>
      <c r="C9" t="s">
        <v>14</v>
      </c>
      <c r="D9" t="s">
        <v>44</v>
      </c>
      <c r="E9" t="s">
        <v>27</v>
      </c>
      <c r="F9" s="1">
        <v>43225</v>
      </c>
      <c r="G9">
        <v>83119</v>
      </c>
      <c r="H9">
        <v>1</v>
      </c>
      <c r="I9">
        <v>91.26</v>
      </c>
      <c r="J9">
        <v>32</v>
      </c>
      <c r="K9" t="s">
        <v>17</v>
      </c>
      <c r="L9" t="s">
        <v>28</v>
      </c>
      <c r="M9" s="1">
        <f>Table1[[#This Row],[Hire_Date]]</f>
        <v>43225</v>
      </c>
      <c r="N9">
        <f>MONTH(Table1[[#This Row],[Hire_Date]])</f>
        <v>5</v>
      </c>
      <c r="O9" t="str">
        <f>TEXT(Table1[[#This Row],[Hire_Date]],"mmmm")</f>
        <v>May</v>
      </c>
      <c r="P9" t="str">
        <f>IF(Table1[[#This Row],[Salary]]&lt;40000,"Low",IF(Table1[[#This Row],[Salary]]&lt;70000,"Medium",IF(Table1[[#This Row],[Salary]]&gt;70000,"High")))</f>
        <v>High</v>
      </c>
    </row>
    <row r="10" spans="1:16" x14ac:dyDescent="0.35">
      <c r="A10" t="s">
        <v>45</v>
      </c>
      <c r="B10" t="s">
        <v>46</v>
      </c>
      <c r="C10" t="s">
        <v>39</v>
      </c>
      <c r="D10" t="s">
        <v>31</v>
      </c>
      <c r="E10" t="s">
        <v>27</v>
      </c>
      <c r="F10" s="1">
        <v>45124</v>
      </c>
      <c r="G10">
        <v>48945</v>
      </c>
      <c r="H10">
        <v>5</v>
      </c>
      <c r="I10">
        <v>89.83</v>
      </c>
      <c r="J10">
        <v>12</v>
      </c>
      <c r="K10" t="s">
        <v>17</v>
      </c>
      <c r="L10" t="s">
        <v>18</v>
      </c>
      <c r="M10" s="1">
        <f>Table1[[#This Row],[Hire_Date]]</f>
        <v>45124</v>
      </c>
      <c r="N10">
        <f>MONTH(Table1[[#This Row],[Hire_Date]])</f>
        <v>7</v>
      </c>
      <c r="O10" t="str">
        <f>TEXT(Table1[[#This Row],[Hire_Date]],"mmmm")</f>
        <v>July</v>
      </c>
      <c r="P10" t="str">
        <f>IF(Table1[[#This Row],[Salary]]&lt;40000,"Low",IF(Table1[[#This Row],[Salary]]&lt;70000,"Medium",IF(Table1[[#This Row],[Salary]]&gt;70000,"High")))</f>
        <v>Medium</v>
      </c>
    </row>
    <row r="11" spans="1:16" x14ac:dyDescent="0.35">
      <c r="A11" t="s">
        <v>47</v>
      </c>
      <c r="B11" t="s">
        <v>48</v>
      </c>
      <c r="C11" t="s">
        <v>39</v>
      </c>
      <c r="D11" t="s">
        <v>31</v>
      </c>
      <c r="E11" t="s">
        <v>27</v>
      </c>
      <c r="F11" s="1">
        <v>43337</v>
      </c>
      <c r="G11">
        <v>63504</v>
      </c>
      <c r="H11">
        <v>1</v>
      </c>
      <c r="I11">
        <v>81.010000000000005</v>
      </c>
      <c r="J11">
        <v>8</v>
      </c>
      <c r="K11" t="s">
        <v>33</v>
      </c>
      <c r="L11" t="s">
        <v>34</v>
      </c>
      <c r="M11" s="1">
        <f>Table1[[#This Row],[Hire_Date]]</f>
        <v>43337</v>
      </c>
      <c r="N11">
        <f>MONTH(Table1[[#This Row],[Hire_Date]])</f>
        <v>8</v>
      </c>
      <c r="O11" t="str">
        <f>TEXT(Table1[[#This Row],[Hire_Date]],"mmmm")</f>
        <v>August</v>
      </c>
      <c r="P11" t="str">
        <f>IF(Table1[[#This Row],[Salary]]&lt;40000,"Low",IF(Table1[[#This Row],[Salary]]&lt;70000,"Medium",IF(Table1[[#This Row],[Salary]]&gt;70000,"High")))</f>
        <v>Medium</v>
      </c>
    </row>
    <row r="12" spans="1:16" x14ac:dyDescent="0.35">
      <c r="A12" t="s">
        <v>49</v>
      </c>
      <c r="B12" t="s">
        <v>50</v>
      </c>
      <c r="C12" t="s">
        <v>14</v>
      </c>
      <c r="D12" t="s">
        <v>44</v>
      </c>
      <c r="E12" t="s">
        <v>16</v>
      </c>
      <c r="F12" s="1">
        <v>45196</v>
      </c>
      <c r="G12">
        <v>104218</v>
      </c>
      <c r="H12">
        <v>2</v>
      </c>
      <c r="I12">
        <v>80</v>
      </c>
      <c r="J12">
        <v>11</v>
      </c>
      <c r="K12" t="s">
        <v>17</v>
      </c>
      <c r="L12" t="s">
        <v>28</v>
      </c>
      <c r="M12" s="1">
        <f>Table1[[#This Row],[Hire_Date]]</f>
        <v>45196</v>
      </c>
      <c r="N12">
        <f>MONTH(Table1[[#This Row],[Hire_Date]])</f>
        <v>9</v>
      </c>
      <c r="O12" t="str">
        <f>TEXT(Table1[[#This Row],[Hire_Date]],"mmmm")</f>
        <v>September</v>
      </c>
      <c r="P12" t="str">
        <f>IF(Table1[[#This Row],[Salary]]&lt;40000,"Low",IF(Table1[[#This Row],[Salary]]&lt;70000,"Medium",IF(Table1[[#This Row],[Salary]]&gt;70000,"High")))</f>
        <v>High</v>
      </c>
    </row>
    <row r="13" spans="1:16" x14ac:dyDescent="0.35">
      <c r="A13" t="s">
        <v>51</v>
      </c>
      <c r="B13" t="s">
        <v>52</v>
      </c>
      <c r="C13" t="s">
        <v>14</v>
      </c>
      <c r="D13" t="s">
        <v>15</v>
      </c>
      <c r="E13" t="s">
        <v>16</v>
      </c>
      <c r="F13" s="1">
        <v>44846</v>
      </c>
      <c r="G13">
        <v>88493</v>
      </c>
      <c r="H13">
        <v>1</v>
      </c>
      <c r="I13">
        <v>77.14</v>
      </c>
      <c r="J13">
        <v>8</v>
      </c>
      <c r="K13" t="s">
        <v>17</v>
      </c>
      <c r="L13" t="s">
        <v>34</v>
      </c>
      <c r="M13" s="1">
        <f>Table1[[#This Row],[Hire_Date]]</f>
        <v>44846</v>
      </c>
      <c r="N13">
        <f>MONTH(Table1[[#This Row],[Hire_Date]])</f>
        <v>10</v>
      </c>
      <c r="O13" t="str">
        <f>TEXT(Table1[[#This Row],[Hire_Date]],"mmmm")</f>
        <v>October</v>
      </c>
      <c r="P13" t="str">
        <f>IF(Table1[[#This Row],[Salary]]&lt;40000,"Low",IF(Table1[[#This Row],[Salary]]&lt;70000,"Medium",IF(Table1[[#This Row],[Salary]]&gt;70000,"High")))</f>
        <v>High</v>
      </c>
    </row>
    <row r="14" spans="1:16" x14ac:dyDescent="0.35">
      <c r="A14" t="s">
        <v>53</v>
      </c>
      <c r="B14" t="s">
        <v>54</v>
      </c>
      <c r="C14" t="s">
        <v>14</v>
      </c>
      <c r="D14" t="s">
        <v>31</v>
      </c>
      <c r="E14" t="s">
        <v>32</v>
      </c>
      <c r="F14" s="1">
        <v>43682</v>
      </c>
      <c r="G14">
        <v>107613</v>
      </c>
      <c r="H14">
        <v>3</v>
      </c>
      <c r="I14">
        <v>91.15</v>
      </c>
      <c r="J14">
        <v>4</v>
      </c>
      <c r="K14" t="s">
        <v>17</v>
      </c>
      <c r="L14" t="s">
        <v>34</v>
      </c>
      <c r="M14" s="1">
        <f>Table1[[#This Row],[Hire_Date]]</f>
        <v>43682</v>
      </c>
      <c r="N14">
        <f>MONTH(Table1[[#This Row],[Hire_Date]])</f>
        <v>8</v>
      </c>
      <c r="O14" t="str">
        <f>TEXT(Table1[[#This Row],[Hire_Date]],"mmmm")</f>
        <v>August</v>
      </c>
      <c r="P14" t="str">
        <f>IF(Table1[[#This Row],[Salary]]&lt;40000,"Low",IF(Table1[[#This Row],[Salary]]&lt;70000,"Medium",IF(Table1[[#This Row],[Salary]]&gt;70000,"High")))</f>
        <v>High</v>
      </c>
    </row>
    <row r="15" spans="1:16" x14ac:dyDescent="0.35">
      <c r="A15" t="s">
        <v>55</v>
      </c>
      <c r="B15" t="s">
        <v>56</v>
      </c>
      <c r="C15" t="s">
        <v>14</v>
      </c>
      <c r="D15" t="s">
        <v>44</v>
      </c>
      <c r="E15" t="s">
        <v>22</v>
      </c>
      <c r="F15" s="1">
        <v>45150</v>
      </c>
      <c r="G15">
        <v>113903</v>
      </c>
      <c r="H15">
        <v>4</v>
      </c>
      <c r="I15">
        <v>82.4</v>
      </c>
      <c r="J15">
        <v>7</v>
      </c>
      <c r="K15" t="s">
        <v>17</v>
      </c>
      <c r="L15" t="s">
        <v>34</v>
      </c>
      <c r="M15" s="1">
        <f>Table1[[#This Row],[Hire_Date]]</f>
        <v>45150</v>
      </c>
      <c r="N15">
        <f>MONTH(Table1[[#This Row],[Hire_Date]])</f>
        <v>8</v>
      </c>
      <c r="O15" t="str">
        <f>TEXT(Table1[[#This Row],[Hire_Date]],"mmmm")</f>
        <v>August</v>
      </c>
      <c r="P15" t="str">
        <f>IF(Table1[[#This Row],[Salary]]&lt;40000,"Low",IF(Table1[[#This Row],[Salary]]&lt;70000,"Medium",IF(Table1[[#This Row],[Salary]]&gt;70000,"High")))</f>
        <v>High</v>
      </c>
    </row>
    <row r="16" spans="1:16" x14ac:dyDescent="0.35">
      <c r="A16" t="s">
        <v>57</v>
      </c>
      <c r="B16" t="s">
        <v>58</v>
      </c>
      <c r="C16" t="s">
        <v>14</v>
      </c>
      <c r="D16" t="s">
        <v>15</v>
      </c>
      <c r="E16" t="s">
        <v>22</v>
      </c>
      <c r="F16" s="1">
        <v>44592</v>
      </c>
      <c r="G16">
        <v>62897</v>
      </c>
      <c r="H16">
        <v>2</v>
      </c>
      <c r="I16">
        <v>84.95</v>
      </c>
      <c r="J16">
        <v>36</v>
      </c>
      <c r="K16" t="s">
        <v>17</v>
      </c>
      <c r="L16" t="s">
        <v>23</v>
      </c>
      <c r="M16" s="1">
        <f>Table1[[#This Row],[Hire_Date]]</f>
        <v>44592</v>
      </c>
      <c r="N16">
        <f>MONTH(Table1[[#This Row],[Hire_Date]])</f>
        <v>1</v>
      </c>
      <c r="O16" t="str">
        <f>TEXT(Table1[[#This Row],[Hire_Date]],"mmmm")</f>
        <v>January</v>
      </c>
      <c r="P16" t="str">
        <f>IF(Table1[[#This Row],[Salary]]&lt;40000,"Low",IF(Table1[[#This Row],[Salary]]&lt;70000,"Medium",IF(Table1[[#This Row],[Salary]]&gt;70000,"High")))</f>
        <v>Medium</v>
      </c>
    </row>
    <row r="17" spans="1:16" x14ac:dyDescent="0.35">
      <c r="A17" t="s">
        <v>59</v>
      </c>
      <c r="B17" t="s">
        <v>60</v>
      </c>
      <c r="C17" t="s">
        <v>14</v>
      </c>
      <c r="D17" t="s">
        <v>26</v>
      </c>
      <c r="E17" t="s">
        <v>16</v>
      </c>
      <c r="F17" s="1">
        <v>45238</v>
      </c>
      <c r="G17">
        <v>49685</v>
      </c>
      <c r="H17">
        <v>1</v>
      </c>
      <c r="I17">
        <v>78.680000000000007</v>
      </c>
      <c r="J17">
        <v>19</v>
      </c>
      <c r="K17" t="s">
        <v>17</v>
      </c>
      <c r="L17" t="s">
        <v>23</v>
      </c>
      <c r="M17" s="1">
        <f>Table1[[#This Row],[Hire_Date]]</f>
        <v>45238</v>
      </c>
      <c r="N17">
        <f>MONTH(Table1[[#This Row],[Hire_Date]])</f>
        <v>11</v>
      </c>
      <c r="O17" t="str">
        <f>TEXT(Table1[[#This Row],[Hire_Date]],"mmmm")</f>
        <v>November</v>
      </c>
      <c r="P17" t="str">
        <f>IF(Table1[[#This Row],[Salary]]&lt;40000,"Low",IF(Table1[[#This Row],[Salary]]&lt;70000,"Medium",IF(Table1[[#This Row],[Salary]]&gt;70000,"High")))</f>
        <v>Medium</v>
      </c>
    </row>
    <row r="18" spans="1:16" x14ac:dyDescent="0.35">
      <c r="A18" t="s">
        <v>61</v>
      </c>
      <c r="B18" t="s">
        <v>62</v>
      </c>
      <c r="C18" t="s">
        <v>39</v>
      </c>
      <c r="D18" t="s">
        <v>44</v>
      </c>
      <c r="E18" t="s">
        <v>16</v>
      </c>
      <c r="F18" s="1">
        <v>44034</v>
      </c>
      <c r="G18">
        <v>26745</v>
      </c>
      <c r="H18">
        <v>3</v>
      </c>
      <c r="I18">
        <v>94.98</v>
      </c>
      <c r="J18">
        <v>35</v>
      </c>
      <c r="K18" t="s">
        <v>17</v>
      </c>
      <c r="L18" t="s">
        <v>18</v>
      </c>
      <c r="M18" s="1">
        <f>Table1[[#This Row],[Hire_Date]]</f>
        <v>44034</v>
      </c>
      <c r="N18">
        <f>MONTH(Table1[[#This Row],[Hire_Date]])</f>
        <v>7</v>
      </c>
      <c r="O18" t="str">
        <f>TEXT(Table1[[#This Row],[Hire_Date]],"mmmm")</f>
        <v>July</v>
      </c>
      <c r="P18" t="str">
        <f>IF(Table1[[#This Row],[Salary]]&lt;40000,"Low",IF(Table1[[#This Row],[Salary]]&lt;70000,"Medium",IF(Table1[[#This Row],[Salary]]&gt;70000,"High")))</f>
        <v>Low</v>
      </c>
    </row>
    <row r="19" spans="1:16" x14ac:dyDescent="0.35">
      <c r="A19" t="s">
        <v>63</v>
      </c>
      <c r="B19" t="s">
        <v>64</v>
      </c>
      <c r="C19" t="s">
        <v>14</v>
      </c>
      <c r="D19" t="s">
        <v>21</v>
      </c>
      <c r="E19" t="s">
        <v>22</v>
      </c>
      <c r="F19" s="1">
        <v>43206</v>
      </c>
      <c r="G19">
        <v>44523</v>
      </c>
      <c r="H19">
        <v>1</v>
      </c>
      <c r="I19">
        <v>94.66</v>
      </c>
      <c r="J19">
        <v>20</v>
      </c>
      <c r="K19" t="s">
        <v>33</v>
      </c>
      <c r="L19" t="s">
        <v>23</v>
      </c>
      <c r="M19" s="1">
        <f>Table1[[#This Row],[Hire_Date]]</f>
        <v>43206</v>
      </c>
      <c r="N19">
        <f>MONTH(Table1[[#This Row],[Hire_Date]])</f>
        <v>4</v>
      </c>
      <c r="O19" t="str">
        <f>TEXT(Table1[[#This Row],[Hire_Date]],"mmmm")</f>
        <v>April</v>
      </c>
      <c r="P19" t="str">
        <f>IF(Table1[[#This Row],[Salary]]&lt;40000,"Low",IF(Table1[[#This Row],[Salary]]&lt;70000,"Medium",IF(Table1[[#This Row],[Salary]]&gt;70000,"High")))</f>
        <v>Medium</v>
      </c>
    </row>
    <row r="20" spans="1:16" x14ac:dyDescent="0.35">
      <c r="A20" t="s">
        <v>65</v>
      </c>
      <c r="B20" t="s">
        <v>66</v>
      </c>
      <c r="C20" t="s">
        <v>14</v>
      </c>
      <c r="D20" t="s">
        <v>15</v>
      </c>
      <c r="E20" t="s">
        <v>22</v>
      </c>
      <c r="F20" s="1">
        <v>45113</v>
      </c>
      <c r="G20">
        <v>54953</v>
      </c>
      <c r="H20">
        <v>5</v>
      </c>
      <c r="I20">
        <v>75.64</v>
      </c>
      <c r="J20">
        <v>20</v>
      </c>
      <c r="K20" t="s">
        <v>33</v>
      </c>
      <c r="L20" t="s">
        <v>34</v>
      </c>
      <c r="M20" s="1">
        <f>Table1[[#This Row],[Hire_Date]]</f>
        <v>45113</v>
      </c>
      <c r="N20">
        <f>MONTH(Table1[[#This Row],[Hire_Date]])</f>
        <v>7</v>
      </c>
      <c r="O20" t="str">
        <f>TEXT(Table1[[#This Row],[Hire_Date]],"mmmm")</f>
        <v>July</v>
      </c>
      <c r="P20" t="str">
        <f>IF(Table1[[#This Row],[Salary]]&lt;40000,"Low",IF(Table1[[#This Row],[Salary]]&lt;70000,"Medium",IF(Table1[[#This Row],[Salary]]&gt;70000,"High")))</f>
        <v>Medium</v>
      </c>
    </row>
    <row r="21" spans="1:16" x14ac:dyDescent="0.35">
      <c r="A21" t="s">
        <v>67</v>
      </c>
      <c r="B21" t="s">
        <v>68</v>
      </c>
      <c r="C21" t="s">
        <v>39</v>
      </c>
      <c r="D21" t="s">
        <v>26</v>
      </c>
      <c r="E21" t="s">
        <v>16</v>
      </c>
      <c r="F21" s="1">
        <v>44025</v>
      </c>
      <c r="G21">
        <v>41500</v>
      </c>
      <c r="H21">
        <v>4</v>
      </c>
      <c r="I21">
        <v>97.12</v>
      </c>
      <c r="J21">
        <v>15</v>
      </c>
      <c r="K21" t="s">
        <v>33</v>
      </c>
      <c r="L21" t="s">
        <v>34</v>
      </c>
      <c r="M21" s="1">
        <f>Table1[[#This Row],[Hire_Date]]</f>
        <v>44025</v>
      </c>
      <c r="N21">
        <f>MONTH(Table1[[#This Row],[Hire_Date]])</f>
        <v>7</v>
      </c>
      <c r="O21" t="str">
        <f>TEXT(Table1[[#This Row],[Hire_Date]],"mmmm")</f>
        <v>July</v>
      </c>
      <c r="P21" t="str">
        <f>IF(Table1[[#This Row],[Salary]]&lt;40000,"Low",IF(Table1[[#This Row],[Salary]]&lt;70000,"Medium",IF(Table1[[#This Row],[Salary]]&gt;70000,"High")))</f>
        <v>Medium</v>
      </c>
    </row>
    <row r="22" spans="1:16" x14ac:dyDescent="0.35">
      <c r="A22" t="s">
        <v>69</v>
      </c>
      <c r="B22" t="s">
        <v>70</v>
      </c>
      <c r="C22" t="s">
        <v>39</v>
      </c>
      <c r="D22" t="s">
        <v>15</v>
      </c>
      <c r="E22" t="s">
        <v>22</v>
      </c>
      <c r="F22" s="1">
        <v>45598</v>
      </c>
      <c r="G22">
        <v>49571</v>
      </c>
      <c r="H22">
        <v>5</v>
      </c>
      <c r="I22">
        <v>99.48</v>
      </c>
      <c r="J22">
        <v>26</v>
      </c>
      <c r="K22" t="s">
        <v>33</v>
      </c>
      <c r="L22" t="s">
        <v>28</v>
      </c>
      <c r="M22" s="1">
        <f>Table1[[#This Row],[Hire_Date]]</f>
        <v>45598</v>
      </c>
      <c r="N22">
        <f>MONTH(Table1[[#This Row],[Hire_Date]])</f>
        <v>11</v>
      </c>
      <c r="O22" t="str">
        <f>TEXT(Table1[[#This Row],[Hire_Date]],"mmmm")</f>
        <v>November</v>
      </c>
      <c r="P22" t="str">
        <f>IF(Table1[[#This Row],[Salary]]&lt;40000,"Low",IF(Table1[[#This Row],[Salary]]&lt;70000,"Medium",IF(Table1[[#This Row],[Salary]]&gt;70000,"High")))</f>
        <v>Medium</v>
      </c>
    </row>
    <row r="23" spans="1:16" x14ac:dyDescent="0.35">
      <c r="A23" t="s">
        <v>71</v>
      </c>
      <c r="B23" t="s">
        <v>72</v>
      </c>
      <c r="C23" t="s">
        <v>39</v>
      </c>
      <c r="D23" t="s">
        <v>15</v>
      </c>
      <c r="E23" t="s">
        <v>16</v>
      </c>
      <c r="F23" s="1">
        <v>43734</v>
      </c>
      <c r="G23">
        <v>72070</v>
      </c>
      <c r="H23">
        <v>1</v>
      </c>
      <c r="I23">
        <v>95.81</v>
      </c>
      <c r="J23">
        <v>26</v>
      </c>
      <c r="K23" t="s">
        <v>33</v>
      </c>
      <c r="L23" t="s">
        <v>18</v>
      </c>
      <c r="M23" s="1">
        <f>Table1[[#This Row],[Hire_Date]]</f>
        <v>43734</v>
      </c>
      <c r="N23">
        <f>MONTH(Table1[[#This Row],[Hire_Date]])</f>
        <v>9</v>
      </c>
      <c r="O23" t="str">
        <f>TEXT(Table1[[#This Row],[Hire_Date]],"mmmm")</f>
        <v>September</v>
      </c>
      <c r="P23" t="str">
        <f>IF(Table1[[#This Row],[Salary]]&lt;40000,"Low",IF(Table1[[#This Row],[Salary]]&lt;70000,"Medium",IF(Table1[[#This Row],[Salary]]&gt;70000,"High")))</f>
        <v>High</v>
      </c>
    </row>
    <row r="24" spans="1:16" x14ac:dyDescent="0.35">
      <c r="A24" t="s">
        <v>73</v>
      </c>
      <c r="B24" t="s">
        <v>74</v>
      </c>
      <c r="C24" t="s">
        <v>39</v>
      </c>
      <c r="D24" t="s">
        <v>15</v>
      </c>
      <c r="E24" t="s">
        <v>16</v>
      </c>
      <c r="F24" s="1">
        <v>45230</v>
      </c>
      <c r="G24">
        <v>69794</v>
      </c>
      <c r="H24">
        <v>5</v>
      </c>
      <c r="I24">
        <v>94.98</v>
      </c>
      <c r="J24">
        <v>29</v>
      </c>
      <c r="K24" t="s">
        <v>17</v>
      </c>
      <c r="L24" t="s">
        <v>34</v>
      </c>
      <c r="M24" s="1">
        <f>Table1[[#This Row],[Hire_Date]]</f>
        <v>45230</v>
      </c>
      <c r="N24">
        <f>MONTH(Table1[[#This Row],[Hire_Date]])</f>
        <v>10</v>
      </c>
      <c r="O24" t="str">
        <f>TEXT(Table1[[#This Row],[Hire_Date]],"mmmm")</f>
        <v>October</v>
      </c>
      <c r="P24" t="str">
        <f>IF(Table1[[#This Row],[Salary]]&lt;40000,"Low",IF(Table1[[#This Row],[Salary]]&lt;70000,"Medium",IF(Table1[[#This Row],[Salary]]&gt;70000,"High")))</f>
        <v>Medium</v>
      </c>
    </row>
    <row r="25" spans="1:16" x14ac:dyDescent="0.35">
      <c r="A25" t="s">
        <v>75</v>
      </c>
      <c r="B25" t="s">
        <v>76</v>
      </c>
      <c r="C25" t="s">
        <v>14</v>
      </c>
      <c r="D25" t="s">
        <v>26</v>
      </c>
      <c r="E25" t="s">
        <v>22</v>
      </c>
      <c r="F25" s="1">
        <v>43866</v>
      </c>
      <c r="G25">
        <v>118263</v>
      </c>
      <c r="H25">
        <v>2</v>
      </c>
      <c r="I25">
        <v>88.05</v>
      </c>
      <c r="J25">
        <v>0</v>
      </c>
      <c r="K25" t="s">
        <v>33</v>
      </c>
      <c r="L25" t="s">
        <v>34</v>
      </c>
      <c r="M25" s="1">
        <f>Table1[[#This Row],[Hire_Date]]</f>
        <v>43866</v>
      </c>
      <c r="N25">
        <f>MONTH(Table1[[#This Row],[Hire_Date]])</f>
        <v>2</v>
      </c>
      <c r="O25" t="str">
        <f>TEXT(Table1[[#This Row],[Hire_Date]],"mmmm")</f>
        <v>February</v>
      </c>
      <c r="P25" t="str">
        <f>IF(Table1[[#This Row],[Salary]]&lt;40000,"Low",IF(Table1[[#This Row],[Salary]]&lt;70000,"Medium",IF(Table1[[#This Row],[Salary]]&gt;70000,"High")))</f>
        <v>High</v>
      </c>
    </row>
    <row r="26" spans="1:16" x14ac:dyDescent="0.35">
      <c r="A26" t="s">
        <v>77</v>
      </c>
      <c r="B26" t="s">
        <v>78</v>
      </c>
      <c r="C26" t="s">
        <v>39</v>
      </c>
      <c r="D26" t="s">
        <v>15</v>
      </c>
      <c r="E26" t="s">
        <v>27</v>
      </c>
      <c r="F26" s="1">
        <v>45408</v>
      </c>
      <c r="G26">
        <v>96686</v>
      </c>
      <c r="H26">
        <v>1</v>
      </c>
      <c r="I26">
        <v>92.55</v>
      </c>
      <c r="J26">
        <v>11</v>
      </c>
      <c r="K26" t="s">
        <v>17</v>
      </c>
      <c r="L26" t="s">
        <v>23</v>
      </c>
      <c r="M26" s="1">
        <f>Table1[[#This Row],[Hire_Date]]</f>
        <v>45408</v>
      </c>
      <c r="N26">
        <f>MONTH(Table1[[#This Row],[Hire_Date]])</f>
        <v>4</v>
      </c>
      <c r="O26" t="str">
        <f>TEXT(Table1[[#This Row],[Hire_Date]],"mmmm")</f>
        <v>April</v>
      </c>
      <c r="P26" t="str">
        <f>IF(Table1[[#This Row],[Salary]]&lt;40000,"Low",IF(Table1[[#This Row],[Salary]]&lt;70000,"Medium",IF(Table1[[#This Row],[Salary]]&gt;70000,"High")))</f>
        <v>High</v>
      </c>
    </row>
    <row r="27" spans="1:16" x14ac:dyDescent="0.35">
      <c r="A27" t="s">
        <v>79</v>
      </c>
      <c r="B27" t="s">
        <v>80</v>
      </c>
      <c r="C27" t="s">
        <v>14</v>
      </c>
      <c r="D27" t="s">
        <v>21</v>
      </c>
      <c r="E27" t="s">
        <v>27</v>
      </c>
      <c r="F27" s="1">
        <v>44880</v>
      </c>
      <c r="G27">
        <v>66333</v>
      </c>
      <c r="H27">
        <v>3</v>
      </c>
      <c r="I27">
        <v>99.64</v>
      </c>
      <c r="J27">
        <v>29</v>
      </c>
      <c r="K27" t="s">
        <v>17</v>
      </c>
      <c r="L27" t="s">
        <v>23</v>
      </c>
      <c r="M27" s="1">
        <f>Table1[[#This Row],[Hire_Date]]</f>
        <v>44880</v>
      </c>
      <c r="N27">
        <f>MONTH(Table1[[#This Row],[Hire_Date]])</f>
        <v>11</v>
      </c>
      <c r="O27" t="str">
        <f>TEXT(Table1[[#This Row],[Hire_Date]],"mmmm")</f>
        <v>November</v>
      </c>
      <c r="P27" t="str">
        <f>IF(Table1[[#This Row],[Salary]]&lt;40000,"Low",IF(Table1[[#This Row],[Salary]]&lt;70000,"Medium",IF(Table1[[#This Row],[Salary]]&gt;70000,"High")))</f>
        <v>Medium</v>
      </c>
    </row>
    <row r="28" spans="1:16" x14ac:dyDescent="0.35">
      <c r="A28" t="s">
        <v>81</v>
      </c>
      <c r="B28" t="s">
        <v>82</v>
      </c>
      <c r="C28" t="s">
        <v>39</v>
      </c>
      <c r="D28" t="s">
        <v>15</v>
      </c>
      <c r="E28" t="s">
        <v>27</v>
      </c>
      <c r="F28" s="1">
        <v>43474</v>
      </c>
      <c r="G28">
        <v>26341</v>
      </c>
      <c r="H28">
        <v>3</v>
      </c>
      <c r="I28">
        <v>76.17</v>
      </c>
      <c r="J28">
        <v>35</v>
      </c>
      <c r="K28" t="s">
        <v>33</v>
      </c>
      <c r="L28" t="s">
        <v>23</v>
      </c>
      <c r="M28" s="1">
        <f>Table1[[#This Row],[Hire_Date]]</f>
        <v>43474</v>
      </c>
      <c r="N28">
        <f>MONTH(Table1[[#This Row],[Hire_Date]])</f>
        <v>1</v>
      </c>
      <c r="O28" t="str">
        <f>TEXT(Table1[[#This Row],[Hire_Date]],"mmmm")</f>
        <v>January</v>
      </c>
      <c r="P28" t="str">
        <f>IF(Table1[[#This Row],[Salary]]&lt;40000,"Low",IF(Table1[[#This Row],[Salary]]&lt;70000,"Medium",IF(Table1[[#This Row],[Salary]]&gt;70000,"High")))</f>
        <v>Low</v>
      </c>
    </row>
    <row r="29" spans="1:16" x14ac:dyDescent="0.35">
      <c r="A29" t="s">
        <v>83</v>
      </c>
      <c r="B29" t="s">
        <v>84</v>
      </c>
      <c r="C29" t="s">
        <v>39</v>
      </c>
      <c r="D29" t="s">
        <v>15</v>
      </c>
      <c r="E29" t="s">
        <v>27</v>
      </c>
      <c r="F29" s="1">
        <v>43316</v>
      </c>
      <c r="G29">
        <v>50873</v>
      </c>
      <c r="H29">
        <v>1</v>
      </c>
      <c r="I29">
        <v>93.26</v>
      </c>
      <c r="J29">
        <v>21</v>
      </c>
      <c r="K29" t="s">
        <v>17</v>
      </c>
      <c r="L29" t="s">
        <v>34</v>
      </c>
      <c r="M29" s="1">
        <f>Table1[[#This Row],[Hire_Date]]</f>
        <v>43316</v>
      </c>
      <c r="N29">
        <f>MONTH(Table1[[#This Row],[Hire_Date]])</f>
        <v>8</v>
      </c>
      <c r="O29" t="str">
        <f>TEXT(Table1[[#This Row],[Hire_Date]],"mmmm")</f>
        <v>August</v>
      </c>
      <c r="P29" t="str">
        <f>IF(Table1[[#This Row],[Salary]]&lt;40000,"Low",IF(Table1[[#This Row],[Salary]]&lt;70000,"Medium",IF(Table1[[#This Row],[Salary]]&gt;70000,"High")))</f>
        <v>Medium</v>
      </c>
    </row>
    <row r="30" spans="1:16" x14ac:dyDescent="0.35">
      <c r="A30" t="s">
        <v>85</v>
      </c>
      <c r="B30" t="s">
        <v>86</v>
      </c>
      <c r="C30" t="s">
        <v>39</v>
      </c>
      <c r="D30" t="s">
        <v>15</v>
      </c>
      <c r="E30" t="s">
        <v>16</v>
      </c>
      <c r="F30" s="1">
        <v>45465</v>
      </c>
      <c r="G30">
        <v>69829</v>
      </c>
      <c r="H30">
        <v>4</v>
      </c>
      <c r="I30">
        <v>80.430000000000007</v>
      </c>
      <c r="J30">
        <v>4</v>
      </c>
      <c r="K30" t="s">
        <v>33</v>
      </c>
      <c r="L30" t="s">
        <v>23</v>
      </c>
      <c r="M30" s="1">
        <f>Table1[[#This Row],[Hire_Date]]</f>
        <v>45465</v>
      </c>
      <c r="N30">
        <f>MONTH(Table1[[#This Row],[Hire_Date]])</f>
        <v>6</v>
      </c>
      <c r="O30" t="str">
        <f>TEXT(Table1[[#This Row],[Hire_Date]],"mmmm")</f>
        <v>June</v>
      </c>
      <c r="P30" t="str">
        <f>IF(Table1[[#This Row],[Salary]]&lt;40000,"Low",IF(Table1[[#This Row],[Salary]]&lt;70000,"Medium",IF(Table1[[#This Row],[Salary]]&gt;70000,"High")))</f>
        <v>Medium</v>
      </c>
    </row>
    <row r="31" spans="1:16" x14ac:dyDescent="0.35">
      <c r="A31" t="s">
        <v>87</v>
      </c>
      <c r="B31" t="s">
        <v>88</v>
      </c>
      <c r="C31" t="s">
        <v>39</v>
      </c>
      <c r="D31" t="s">
        <v>15</v>
      </c>
      <c r="E31" t="s">
        <v>16</v>
      </c>
      <c r="F31" s="1">
        <v>43601</v>
      </c>
      <c r="G31">
        <v>108500</v>
      </c>
      <c r="H31">
        <v>5</v>
      </c>
      <c r="I31">
        <v>80.12</v>
      </c>
      <c r="J31">
        <v>30</v>
      </c>
      <c r="K31" t="s">
        <v>33</v>
      </c>
      <c r="L31" t="s">
        <v>34</v>
      </c>
      <c r="M31" s="1">
        <f>Table1[[#This Row],[Hire_Date]]</f>
        <v>43601</v>
      </c>
      <c r="N31">
        <f>MONTH(Table1[[#This Row],[Hire_Date]])</f>
        <v>5</v>
      </c>
      <c r="O31" t="str">
        <f>TEXT(Table1[[#This Row],[Hire_Date]],"mmmm")</f>
        <v>May</v>
      </c>
      <c r="P31" t="str">
        <f>IF(Table1[[#This Row],[Salary]]&lt;40000,"Low",IF(Table1[[#This Row],[Salary]]&lt;70000,"Medium",IF(Table1[[#This Row],[Salary]]&gt;70000,"High")))</f>
        <v>High</v>
      </c>
    </row>
    <row r="32" spans="1:16" x14ac:dyDescent="0.35">
      <c r="A32" t="s">
        <v>89</v>
      </c>
      <c r="B32" t="s">
        <v>90</v>
      </c>
      <c r="C32" t="s">
        <v>14</v>
      </c>
      <c r="D32" t="s">
        <v>21</v>
      </c>
      <c r="E32" t="s">
        <v>16</v>
      </c>
      <c r="F32" s="1">
        <v>43136</v>
      </c>
      <c r="G32">
        <v>79885</v>
      </c>
      <c r="H32">
        <v>3</v>
      </c>
      <c r="I32">
        <v>77.11</v>
      </c>
      <c r="J32">
        <v>17</v>
      </c>
      <c r="K32" t="s">
        <v>33</v>
      </c>
      <c r="L32" t="s">
        <v>34</v>
      </c>
      <c r="M32" s="1">
        <f>Table1[[#This Row],[Hire_Date]]</f>
        <v>43136</v>
      </c>
      <c r="N32">
        <f>MONTH(Table1[[#This Row],[Hire_Date]])</f>
        <v>2</v>
      </c>
      <c r="O32" t="str">
        <f>TEXT(Table1[[#This Row],[Hire_Date]],"mmmm")</f>
        <v>February</v>
      </c>
      <c r="P32" t="str">
        <f>IF(Table1[[#This Row],[Salary]]&lt;40000,"Low",IF(Table1[[#This Row],[Salary]]&lt;70000,"Medium",IF(Table1[[#This Row],[Salary]]&gt;70000,"High")))</f>
        <v>High</v>
      </c>
    </row>
    <row r="33" spans="1:16" x14ac:dyDescent="0.35">
      <c r="A33" t="s">
        <v>91</v>
      </c>
      <c r="B33" t="s">
        <v>92</v>
      </c>
      <c r="C33" t="s">
        <v>14</v>
      </c>
      <c r="D33" t="s">
        <v>44</v>
      </c>
      <c r="E33" t="s">
        <v>22</v>
      </c>
      <c r="F33" s="1">
        <v>45098</v>
      </c>
      <c r="G33">
        <v>69692</v>
      </c>
      <c r="H33">
        <v>4</v>
      </c>
      <c r="I33">
        <v>79.83</v>
      </c>
      <c r="J33">
        <v>20</v>
      </c>
      <c r="K33" t="s">
        <v>33</v>
      </c>
      <c r="L33" t="s">
        <v>23</v>
      </c>
      <c r="M33" s="1">
        <f>Table1[[#This Row],[Hire_Date]]</f>
        <v>45098</v>
      </c>
      <c r="N33">
        <f>MONTH(Table1[[#This Row],[Hire_Date]])</f>
        <v>6</v>
      </c>
      <c r="O33" t="str">
        <f>TEXT(Table1[[#This Row],[Hire_Date]],"mmmm")</f>
        <v>June</v>
      </c>
      <c r="P33" t="str">
        <f>IF(Table1[[#This Row],[Salary]]&lt;40000,"Low",IF(Table1[[#This Row],[Salary]]&lt;70000,"Medium",IF(Table1[[#This Row],[Salary]]&gt;70000,"High")))</f>
        <v>Medium</v>
      </c>
    </row>
    <row r="34" spans="1:16" x14ac:dyDescent="0.35">
      <c r="A34" t="s">
        <v>93</v>
      </c>
      <c r="B34" t="s">
        <v>94</v>
      </c>
      <c r="C34" t="s">
        <v>14</v>
      </c>
      <c r="D34" t="s">
        <v>26</v>
      </c>
      <c r="E34" t="s">
        <v>16</v>
      </c>
      <c r="F34" s="1">
        <v>44448</v>
      </c>
      <c r="G34">
        <v>90616</v>
      </c>
      <c r="H34">
        <v>2</v>
      </c>
      <c r="I34">
        <v>98.32</v>
      </c>
      <c r="J34">
        <v>5</v>
      </c>
      <c r="K34" t="s">
        <v>33</v>
      </c>
      <c r="L34" t="s">
        <v>28</v>
      </c>
      <c r="M34" s="1">
        <f>Table1[[#This Row],[Hire_Date]]</f>
        <v>44448</v>
      </c>
      <c r="N34">
        <f>MONTH(Table1[[#This Row],[Hire_Date]])</f>
        <v>9</v>
      </c>
      <c r="O34" t="str">
        <f>TEXT(Table1[[#This Row],[Hire_Date]],"mmmm")</f>
        <v>September</v>
      </c>
      <c r="P34" t="str">
        <f>IF(Table1[[#This Row],[Salary]]&lt;40000,"Low",IF(Table1[[#This Row],[Salary]]&lt;70000,"Medium",IF(Table1[[#This Row],[Salary]]&gt;70000,"High")))</f>
        <v>High</v>
      </c>
    </row>
    <row r="35" spans="1:16" x14ac:dyDescent="0.35">
      <c r="A35" t="s">
        <v>95</v>
      </c>
      <c r="B35" t="s">
        <v>96</v>
      </c>
      <c r="C35" t="s">
        <v>39</v>
      </c>
      <c r="D35" t="s">
        <v>44</v>
      </c>
      <c r="E35" t="s">
        <v>16</v>
      </c>
      <c r="F35" s="1">
        <v>44038</v>
      </c>
      <c r="G35">
        <v>75405</v>
      </c>
      <c r="H35">
        <v>4</v>
      </c>
      <c r="I35">
        <v>89.32</v>
      </c>
      <c r="J35">
        <v>11</v>
      </c>
      <c r="K35" t="s">
        <v>33</v>
      </c>
      <c r="L35" t="s">
        <v>34</v>
      </c>
      <c r="M35" s="1">
        <f>Table1[[#This Row],[Hire_Date]]</f>
        <v>44038</v>
      </c>
      <c r="N35">
        <f>MONTH(Table1[[#This Row],[Hire_Date]])</f>
        <v>7</v>
      </c>
      <c r="O35" t="str">
        <f>TEXT(Table1[[#This Row],[Hire_Date]],"mmmm")</f>
        <v>July</v>
      </c>
      <c r="P35" t="str">
        <f>IF(Table1[[#This Row],[Salary]]&lt;40000,"Low",IF(Table1[[#This Row],[Salary]]&lt;70000,"Medium",IF(Table1[[#This Row],[Salary]]&gt;70000,"High")))</f>
        <v>High</v>
      </c>
    </row>
    <row r="36" spans="1:16" x14ac:dyDescent="0.35">
      <c r="A36" t="s">
        <v>97</v>
      </c>
      <c r="B36" t="s">
        <v>98</v>
      </c>
      <c r="C36" t="s">
        <v>39</v>
      </c>
      <c r="D36" t="s">
        <v>26</v>
      </c>
      <c r="E36" t="s">
        <v>27</v>
      </c>
      <c r="F36" s="1">
        <v>43352</v>
      </c>
      <c r="G36">
        <v>77883</v>
      </c>
      <c r="H36">
        <v>5</v>
      </c>
      <c r="I36">
        <v>94.13</v>
      </c>
      <c r="J36">
        <v>25</v>
      </c>
      <c r="K36" t="s">
        <v>17</v>
      </c>
      <c r="L36" t="s">
        <v>34</v>
      </c>
      <c r="M36" s="1">
        <f>Table1[[#This Row],[Hire_Date]]</f>
        <v>43352</v>
      </c>
      <c r="N36">
        <f>MONTH(Table1[[#This Row],[Hire_Date]])</f>
        <v>9</v>
      </c>
      <c r="O36" t="str">
        <f>TEXT(Table1[[#This Row],[Hire_Date]],"mmmm")</f>
        <v>September</v>
      </c>
      <c r="P36" t="str">
        <f>IF(Table1[[#This Row],[Salary]]&lt;40000,"Low",IF(Table1[[#This Row],[Salary]]&lt;70000,"Medium",IF(Table1[[#This Row],[Salary]]&gt;70000,"High")))</f>
        <v>High</v>
      </c>
    </row>
    <row r="37" spans="1:16" x14ac:dyDescent="0.35">
      <c r="A37" t="s">
        <v>99</v>
      </c>
      <c r="B37" t="s">
        <v>100</v>
      </c>
      <c r="C37" t="s">
        <v>39</v>
      </c>
      <c r="D37" t="s">
        <v>21</v>
      </c>
      <c r="E37" t="s">
        <v>22</v>
      </c>
      <c r="F37" s="1">
        <v>44599</v>
      </c>
      <c r="G37">
        <v>66655</v>
      </c>
      <c r="H37">
        <v>5</v>
      </c>
      <c r="I37">
        <v>99.5</v>
      </c>
      <c r="J37">
        <v>22</v>
      </c>
      <c r="K37" t="s">
        <v>33</v>
      </c>
      <c r="L37" t="s">
        <v>18</v>
      </c>
      <c r="M37" s="1">
        <f>Table1[[#This Row],[Hire_Date]]</f>
        <v>44599</v>
      </c>
      <c r="N37">
        <f>MONTH(Table1[[#This Row],[Hire_Date]])</f>
        <v>2</v>
      </c>
      <c r="O37" t="str">
        <f>TEXT(Table1[[#This Row],[Hire_Date]],"mmmm")</f>
        <v>February</v>
      </c>
      <c r="P37" t="str">
        <f>IF(Table1[[#This Row],[Salary]]&lt;40000,"Low",IF(Table1[[#This Row],[Salary]]&lt;70000,"Medium",IF(Table1[[#This Row],[Salary]]&gt;70000,"High")))</f>
        <v>Medium</v>
      </c>
    </row>
    <row r="38" spans="1:16" x14ac:dyDescent="0.35">
      <c r="A38" t="s">
        <v>101</v>
      </c>
      <c r="B38" t="s">
        <v>102</v>
      </c>
      <c r="C38" t="s">
        <v>14</v>
      </c>
      <c r="D38" t="s">
        <v>44</v>
      </c>
      <c r="E38" t="s">
        <v>27</v>
      </c>
      <c r="F38" s="1">
        <v>44783</v>
      </c>
      <c r="G38">
        <v>89053</v>
      </c>
      <c r="H38">
        <v>5</v>
      </c>
      <c r="I38">
        <v>95.52</v>
      </c>
      <c r="J38">
        <v>14</v>
      </c>
      <c r="K38" t="s">
        <v>17</v>
      </c>
      <c r="L38" t="s">
        <v>18</v>
      </c>
      <c r="M38" s="1">
        <f>Table1[[#This Row],[Hire_Date]]</f>
        <v>44783</v>
      </c>
      <c r="N38">
        <f>MONTH(Table1[[#This Row],[Hire_Date]])</f>
        <v>8</v>
      </c>
      <c r="O38" t="str">
        <f>TEXT(Table1[[#This Row],[Hire_Date]],"mmmm")</f>
        <v>August</v>
      </c>
      <c r="P38" t="str">
        <f>IF(Table1[[#This Row],[Salary]]&lt;40000,"Low",IF(Table1[[#This Row],[Salary]]&lt;70000,"Medium",IF(Table1[[#This Row],[Salary]]&gt;70000,"High")))</f>
        <v>High</v>
      </c>
    </row>
    <row r="39" spans="1:16" x14ac:dyDescent="0.35">
      <c r="A39" t="s">
        <v>103</v>
      </c>
      <c r="B39" t="s">
        <v>104</v>
      </c>
      <c r="C39" t="s">
        <v>14</v>
      </c>
      <c r="D39" t="s">
        <v>31</v>
      </c>
      <c r="E39" t="s">
        <v>32</v>
      </c>
      <c r="F39" s="1">
        <v>44404</v>
      </c>
      <c r="G39">
        <v>50902</v>
      </c>
      <c r="H39">
        <v>4</v>
      </c>
      <c r="I39">
        <v>84.55</v>
      </c>
      <c r="J39">
        <v>8</v>
      </c>
      <c r="K39" t="s">
        <v>17</v>
      </c>
      <c r="L39" t="s">
        <v>28</v>
      </c>
      <c r="M39" s="1">
        <f>Table1[[#This Row],[Hire_Date]]</f>
        <v>44404</v>
      </c>
      <c r="N39">
        <f>MONTH(Table1[[#This Row],[Hire_Date]])</f>
        <v>7</v>
      </c>
      <c r="O39" t="str">
        <f>TEXT(Table1[[#This Row],[Hire_Date]],"mmmm")</f>
        <v>July</v>
      </c>
      <c r="P39" t="str">
        <f>IF(Table1[[#This Row],[Salary]]&lt;40000,"Low",IF(Table1[[#This Row],[Salary]]&lt;70000,"Medium",IF(Table1[[#This Row],[Salary]]&gt;70000,"High")))</f>
        <v>Medium</v>
      </c>
    </row>
    <row r="40" spans="1:16" x14ac:dyDescent="0.35">
      <c r="A40" t="s">
        <v>105</v>
      </c>
      <c r="B40" t="s">
        <v>106</v>
      </c>
      <c r="C40" t="s">
        <v>39</v>
      </c>
      <c r="D40" t="s">
        <v>26</v>
      </c>
      <c r="E40" t="s">
        <v>22</v>
      </c>
      <c r="F40" s="1">
        <v>44471</v>
      </c>
      <c r="G40">
        <v>92705</v>
      </c>
      <c r="H40">
        <v>4</v>
      </c>
      <c r="I40">
        <v>86.72</v>
      </c>
      <c r="J40">
        <v>38</v>
      </c>
      <c r="K40" t="s">
        <v>33</v>
      </c>
      <c r="L40" t="s">
        <v>18</v>
      </c>
      <c r="M40" s="1">
        <f>Table1[[#This Row],[Hire_Date]]</f>
        <v>44471</v>
      </c>
      <c r="N40">
        <f>MONTH(Table1[[#This Row],[Hire_Date]])</f>
        <v>10</v>
      </c>
      <c r="O40" t="str">
        <f>TEXT(Table1[[#This Row],[Hire_Date]],"mmmm")</f>
        <v>October</v>
      </c>
      <c r="P40" t="str">
        <f>IF(Table1[[#This Row],[Salary]]&lt;40000,"Low",IF(Table1[[#This Row],[Salary]]&lt;70000,"Medium",IF(Table1[[#This Row],[Salary]]&gt;70000,"High")))</f>
        <v>High</v>
      </c>
    </row>
    <row r="41" spans="1:16" x14ac:dyDescent="0.35">
      <c r="A41" t="s">
        <v>107</v>
      </c>
      <c r="B41" t="s">
        <v>108</v>
      </c>
      <c r="C41" t="s">
        <v>39</v>
      </c>
      <c r="D41" t="s">
        <v>26</v>
      </c>
      <c r="E41" t="s">
        <v>27</v>
      </c>
      <c r="F41" s="1">
        <v>44286</v>
      </c>
      <c r="G41">
        <v>49402</v>
      </c>
      <c r="H41">
        <v>3</v>
      </c>
      <c r="I41">
        <v>88.43</v>
      </c>
      <c r="J41">
        <v>5</v>
      </c>
      <c r="K41" t="s">
        <v>33</v>
      </c>
      <c r="L41" t="s">
        <v>28</v>
      </c>
      <c r="M41" s="1">
        <f>Table1[[#This Row],[Hire_Date]]</f>
        <v>44286</v>
      </c>
      <c r="N41">
        <f>MONTH(Table1[[#This Row],[Hire_Date]])</f>
        <v>3</v>
      </c>
      <c r="O41" t="str">
        <f>TEXT(Table1[[#This Row],[Hire_Date]],"mmmm")</f>
        <v>March</v>
      </c>
      <c r="P41" t="str">
        <f>IF(Table1[[#This Row],[Salary]]&lt;40000,"Low",IF(Table1[[#This Row],[Salary]]&lt;70000,"Medium",IF(Table1[[#This Row],[Salary]]&gt;70000,"High")))</f>
        <v>Medium</v>
      </c>
    </row>
    <row r="42" spans="1:16" x14ac:dyDescent="0.35">
      <c r="A42" t="s">
        <v>109</v>
      </c>
      <c r="B42" t="s">
        <v>110</v>
      </c>
      <c r="C42" t="s">
        <v>39</v>
      </c>
      <c r="D42" t="s">
        <v>31</v>
      </c>
      <c r="E42" t="s">
        <v>22</v>
      </c>
      <c r="F42" s="1">
        <v>43804</v>
      </c>
      <c r="G42">
        <v>66050</v>
      </c>
      <c r="H42">
        <v>4</v>
      </c>
      <c r="I42">
        <v>99.47</v>
      </c>
      <c r="J42">
        <v>29</v>
      </c>
      <c r="K42" t="s">
        <v>17</v>
      </c>
      <c r="L42" t="s">
        <v>18</v>
      </c>
      <c r="M42" s="1">
        <f>Table1[[#This Row],[Hire_Date]]</f>
        <v>43804</v>
      </c>
      <c r="N42">
        <f>MONTH(Table1[[#This Row],[Hire_Date]])</f>
        <v>12</v>
      </c>
      <c r="O42" t="str">
        <f>TEXT(Table1[[#This Row],[Hire_Date]],"mmmm")</f>
        <v>December</v>
      </c>
      <c r="P42" t="str">
        <f>IF(Table1[[#This Row],[Salary]]&lt;40000,"Low",IF(Table1[[#This Row],[Salary]]&lt;70000,"Medium",IF(Table1[[#This Row],[Salary]]&gt;70000,"High")))</f>
        <v>Medium</v>
      </c>
    </row>
    <row r="43" spans="1:16" x14ac:dyDescent="0.35">
      <c r="A43" t="s">
        <v>111</v>
      </c>
      <c r="B43" t="s">
        <v>112</v>
      </c>
      <c r="C43" t="s">
        <v>39</v>
      </c>
      <c r="D43" t="s">
        <v>26</v>
      </c>
      <c r="E43" t="s">
        <v>16</v>
      </c>
      <c r="F43" s="1">
        <v>44126</v>
      </c>
      <c r="G43">
        <v>35776</v>
      </c>
      <c r="H43">
        <v>3</v>
      </c>
      <c r="I43">
        <v>82.67</v>
      </c>
      <c r="J43">
        <v>20</v>
      </c>
      <c r="K43" t="s">
        <v>17</v>
      </c>
      <c r="L43" t="s">
        <v>34</v>
      </c>
      <c r="M43" s="1">
        <f>Table1[[#This Row],[Hire_Date]]</f>
        <v>44126</v>
      </c>
      <c r="N43">
        <f>MONTH(Table1[[#This Row],[Hire_Date]])</f>
        <v>10</v>
      </c>
      <c r="O43" t="str">
        <f>TEXT(Table1[[#This Row],[Hire_Date]],"mmmm")</f>
        <v>October</v>
      </c>
      <c r="P43" t="str">
        <f>IF(Table1[[#This Row],[Salary]]&lt;40000,"Low",IF(Table1[[#This Row],[Salary]]&lt;70000,"Medium",IF(Table1[[#This Row],[Salary]]&gt;70000,"High")))</f>
        <v>Low</v>
      </c>
    </row>
    <row r="44" spans="1:16" x14ac:dyDescent="0.35">
      <c r="A44" t="s">
        <v>113</v>
      </c>
      <c r="B44" t="s">
        <v>114</v>
      </c>
      <c r="C44" t="s">
        <v>39</v>
      </c>
      <c r="D44" t="s">
        <v>31</v>
      </c>
      <c r="E44" t="s">
        <v>16</v>
      </c>
      <c r="F44" s="1">
        <v>45084</v>
      </c>
      <c r="G44">
        <v>50714</v>
      </c>
      <c r="H44">
        <v>3</v>
      </c>
      <c r="I44">
        <v>95.03</v>
      </c>
      <c r="J44">
        <v>32</v>
      </c>
      <c r="K44" t="s">
        <v>17</v>
      </c>
      <c r="L44" t="s">
        <v>18</v>
      </c>
      <c r="M44" s="1">
        <f>Table1[[#This Row],[Hire_Date]]</f>
        <v>45084</v>
      </c>
      <c r="N44">
        <f>MONTH(Table1[[#This Row],[Hire_Date]])</f>
        <v>6</v>
      </c>
      <c r="O44" t="str">
        <f>TEXT(Table1[[#This Row],[Hire_Date]],"mmmm")</f>
        <v>June</v>
      </c>
      <c r="P44" t="str">
        <f>IF(Table1[[#This Row],[Salary]]&lt;40000,"Low",IF(Table1[[#This Row],[Salary]]&lt;70000,"Medium",IF(Table1[[#This Row],[Salary]]&gt;70000,"High")))</f>
        <v>Medium</v>
      </c>
    </row>
    <row r="45" spans="1:16" x14ac:dyDescent="0.35">
      <c r="A45" t="s">
        <v>115</v>
      </c>
      <c r="B45" t="s">
        <v>116</v>
      </c>
      <c r="C45" t="s">
        <v>39</v>
      </c>
      <c r="D45" t="s">
        <v>44</v>
      </c>
      <c r="E45" t="s">
        <v>32</v>
      </c>
      <c r="F45" s="1">
        <v>43182</v>
      </c>
      <c r="G45">
        <v>80040</v>
      </c>
      <c r="H45">
        <v>2</v>
      </c>
      <c r="I45">
        <v>94.01</v>
      </c>
      <c r="J45">
        <v>37</v>
      </c>
      <c r="K45" t="s">
        <v>17</v>
      </c>
      <c r="L45" t="s">
        <v>28</v>
      </c>
      <c r="M45" s="1">
        <f>Table1[[#This Row],[Hire_Date]]</f>
        <v>43182</v>
      </c>
      <c r="N45">
        <f>MONTH(Table1[[#This Row],[Hire_Date]])</f>
        <v>3</v>
      </c>
      <c r="O45" t="str">
        <f>TEXT(Table1[[#This Row],[Hire_Date]],"mmmm")</f>
        <v>March</v>
      </c>
      <c r="P45" t="str">
        <f>IF(Table1[[#This Row],[Salary]]&lt;40000,"Low",IF(Table1[[#This Row],[Salary]]&lt;70000,"Medium",IF(Table1[[#This Row],[Salary]]&gt;70000,"High")))</f>
        <v>High</v>
      </c>
    </row>
    <row r="46" spans="1:16" x14ac:dyDescent="0.35">
      <c r="A46" t="s">
        <v>117</v>
      </c>
      <c r="B46" t="s">
        <v>118</v>
      </c>
      <c r="C46" t="s">
        <v>39</v>
      </c>
      <c r="D46" t="s">
        <v>31</v>
      </c>
      <c r="E46" t="s">
        <v>27</v>
      </c>
      <c r="F46" s="1">
        <v>44571</v>
      </c>
      <c r="G46">
        <v>86449</v>
      </c>
      <c r="H46">
        <v>5</v>
      </c>
      <c r="I46">
        <v>90.56</v>
      </c>
      <c r="J46">
        <v>25</v>
      </c>
      <c r="K46" t="s">
        <v>17</v>
      </c>
      <c r="L46" t="s">
        <v>23</v>
      </c>
      <c r="M46" s="1">
        <f>Table1[[#This Row],[Hire_Date]]</f>
        <v>44571</v>
      </c>
      <c r="N46">
        <f>MONTH(Table1[[#This Row],[Hire_Date]])</f>
        <v>1</v>
      </c>
      <c r="O46" t="str">
        <f>TEXT(Table1[[#This Row],[Hire_Date]],"mmmm")</f>
        <v>January</v>
      </c>
      <c r="P46" t="str">
        <f>IF(Table1[[#This Row],[Salary]]&lt;40000,"Low",IF(Table1[[#This Row],[Salary]]&lt;70000,"Medium",IF(Table1[[#This Row],[Salary]]&gt;70000,"High")))</f>
        <v>High</v>
      </c>
    </row>
    <row r="47" spans="1:16" x14ac:dyDescent="0.35">
      <c r="A47" t="s">
        <v>119</v>
      </c>
      <c r="B47" t="s">
        <v>120</v>
      </c>
      <c r="C47" t="s">
        <v>39</v>
      </c>
      <c r="D47" t="s">
        <v>15</v>
      </c>
      <c r="E47" t="s">
        <v>32</v>
      </c>
      <c r="F47" s="1">
        <v>45205</v>
      </c>
      <c r="G47">
        <v>84862</v>
      </c>
      <c r="H47">
        <v>3</v>
      </c>
      <c r="I47">
        <v>78.92</v>
      </c>
      <c r="J47">
        <v>11</v>
      </c>
      <c r="K47" t="s">
        <v>33</v>
      </c>
      <c r="L47" t="s">
        <v>34</v>
      </c>
      <c r="M47" s="1">
        <f>Table1[[#This Row],[Hire_Date]]</f>
        <v>45205</v>
      </c>
      <c r="N47">
        <f>MONTH(Table1[[#This Row],[Hire_Date]])</f>
        <v>10</v>
      </c>
      <c r="O47" t="str">
        <f>TEXT(Table1[[#This Row],[Hire_Date]],"mmmm")</f>
        <v>October</v>
      </c>
      <c r="P47" t="str">
        <f>IF(Table1[[#This Row],[Salary]]&lt;40000,"Low",IF(Table1[[#This Row],[Salary]]&lt;70000,"Medium",IF(Table1[[#This Row],[Salary]]&gt;70000,"High")))</f>
        <v>High</v>
      </c>
    </row>
    <row r="48" spans="1:16" x14ac:dyDescent="0.35">
      <c r="A48" t="s">
        <v>121</v>
      </c>
      <c r="B48" t="s">
        <v>122</v>
      </c>
      <c r="C48" t="s">
        <v>14</v>
      </c>
      <c r="D48" t="s">
        <v>26</v>
      </c>
      <c r="E48" t="s">
        <v>32</v>
      </c>
      <c r="F48" s="1">
        <v>45073</v>
      </c>
      <c r="G48">
        <v>68595</v>
      </c>
      <c r="H48">
        <v>3</v>
      </c>
      <c r="I48">
        <v>98.99</v>
      </c>
      <c r="J48">
        <v>9</v>
      </c>
      <c r="K48" t="s">
        <v>17</v>
      </c>
      <c r="L48" t="s">
        <v>28</v>
      </c>
      <c r="M48" s="1">
        <f>Table1[[#This Row],[Hire_Date]]</f>
        <v>45073</v>
      </c>
      <c r="N48">
        <f>MONTH(Table1[[#This Row],[Hire_Date]])</f>
        <v>5</v>
      </c>
      <c r="O48" t="str">
        <f>TEXT(Table1[[#This Row],[Hire_Date]],"mmmm")</f>
        <v>May</v>
      </c>
      <c r="P48" t="str">
        <f>IF(Table1[[#This Row],[Salary]]&lt;40000,"Low",IF(Table1[[#This Row],[Salary]]&lt;70000,"Medium",IF(Table1[[#This Row],[Salary]]&gt;70000,"High")))</f>
        <v>Medium</v>
      </c>
    </row>
    <row r="49" spans="1:16" x14ac:dyDescent="0.35">
      <c r="A49" t="s">
        <v>123</v>
      </c>
      <c r="B49" t="s">
        <v>124</v>
      </c>
      <c r="C49" t="s">
        <v>14</v>
      </c>
      <c r="D49" t="s">
        <v>21</v>
      </c>
      <c r="E49" t="s">
        <v>32</v>
      </c>
      <c r="F49" s="1">
        <v>43273</v>
      </c>
      <c r="G49">
        <v>95470</v>
      </c>
      <c r="H49">
        <v>4</v>
      </c>
      <c r="I49">
        <v>85.26</v>
      </c>
      <c r="J49">
        <v>30</v>
      </c>
      <c r="K49" t="s">
        <v>17</v>
      </c>
      <c r="L49" t="s">
        <v>18</v>
      </c>
      <c r="M49" s="1">
        <f>Table1[[#This Row],[Hire_Date]]</f>
        <v>43273</v>
      </c>
      <c r="N49">
        <f>MONTH(Table1[[#This Row],[Hire_Date]])</f>
        <v>6</v>
      </c>
      <c r="O49" t="str">
        <f>TEXT(Table1[[#This Row],[Hire_Date]],"mmmm")</f>
        <v>June</v>
      </c>
      <c r="P49" t="str">
        <f>IF(Table1[[#This Row],[Salary]]&lt;40000,"Low",IF(Table1[[#This Row],[Salary]]&lt;70000,"Medium",IF(Table1[[#This Row],[Salary]]&gt;70000,"High")))</f>
        <v>High</v>
      </c>
    </row>
    <row r="50" spans="1:16" x14ac:dyDescent="0.35">
      <c r="A50" t="s">
        <v>125</v>
      </c>
      <c r="B50" t="s">
        <v>126</v>
      </c>
      <c r="C50" t="s">
        <v>14</v>
      </c>
      <c r="D50" t="s">
        <v>15</v>
      </c>
      <c r="E50" t="s">
        <v>27</v>
      </c>
      <c r="F50" s="1">
        <v>43795</v>
      </c>
      <c r="G50">
        <v>74436</v>
      </c>
      <c r="H50">
        <v>4</v>
      </c>
      <c r="I50">
        <v>76.53</v>
      </c>
      <c r="J50">
        <v>37</v>
      </c>
      <c r="K50" t="s">
        <v>17</v>
      </c>
      <c r="L50" t="s">
        <v>34</v>
      </c>
      <c r="M50" s="1">
        <f>Table1[[#This Row],[Hire_Date]]</f>
        <v>43795</v>
      </c>
      <c r="N50">
        <f>MONTH(Table1[[#This Row],[Hire_Date]])</f>
        <v>11</v>
      </c>
      <c r="O50" t="str">
        <f>TEXT(Table1[[#This Row],[Hire_Date]],"mmmm")</f>
        <v>November</v>
      </c>
      <c r="P50" t="str">
        <f>IF(Table1[[#This Row],[Salary]]&lt;40000,"Low",IF(Table1[[#This Row],[Salary]]&lt;70000,"Medium",IF(Table1[[#This Row],[Salary]]&gt;70000,"High")))</f>
        <v>High</v>
      </c>
    </row>
    <row r="51" spans="1:16" x14ac:dyDescent="0.35">
      <c r="A51" t="s">
        <v>127</v>
      </c>
      <c r="B51" t="s">
        <v>128</v>
      </c>
      <c r="C51" t="s">
        <v>39</v>
      </c>
      <c r="D51" t="s">
        <v>15</v>
      </c>
      <c r="E51" t="s">
        <v>27</v>
      </c>
      <c r="F51" s="1">
        <v>43871</v>
      </c>
      <c r="G51">
        <v>51014</v>
      </c>
      <c r="H51">
        <v>5</v>
      </c>
      <c r="I51">
        <v>83.15</v>
      </c>
      <c r="J51">
        <v>7</v>
      </c>
      <c r="K51" t="s">
        <v>33</v>
      </c>
      <c r="L51" t="s">
        <v>34</v>
      </c>
      <c r="M51" s="1">
        <f>Table1[[#This Row],[Hire_Date]]</f>
        <v>43871</v>
      </c>
      <c r="N51">
        <f>MONTH(Table1[[#This Row],[Hire_Date]])</f>
        <v>2</v>
      </c>
      <c r="O51" t="str">
        <f>TEXT(Table1[[#This Row],[Hire_Date]],"mmmm")</f>
        <v>February</v>
      </c>
      <c r="P51" t="str">
        <f>IF(Table1[[#This Row],[Salary]]&lt;40000,"Low",IF(Table1[[#This Row],[Salary]]&lt;70000,"Medium",IF(Table1[[#This Row],[Salary]]&gt;70000,"High")))</f>
        <v>Medium</v>
      </c>
    </row>
    <row r="52" spans="1:16" x14ac:dyDescent="0.35">
      <c r="A52" t="s">
        <v>129</v>
      </c>
      <c r="B52" t="s">
        <v>130</v>
      </c>
      <c r="C52" t="s">
        <v>14</v>
      </c>
      <c r="D52" t="s">
        <v>31</v>
      </c>
      <c r="E52" t="s">
        <v>32</v>
      </c>
      <c r="F52" s="1">
        <v>43874</v>
      </c>
      <c r="G52">
        <v>76130</v>
      </c>
      <c r="H52">
        <v>1</v>
      </c>
      <c r="I52">
        <v>96.06</v>
      </c>
      <c r="J52">
        <v>38</v>
      </c>
      <c r="K52" t="s">
        <v>33</v>
      </c>
      <c r="L52" t="s">
        <v>28</v>
      </c>
      <c r="M52" s="1">
        <f>Table1[[#This Row],[Hire_Date]]</f>
        <v>43874</v>
      </c>
      <c r="N52">
        <f>MONTH(Table1[[#This Row],[Hire_Date]])</f>
        <v>2</v>
      </c>
      <c r="O52" t="str">
        <f>TEXT(Table1[[#This Row],[Hire_Date]],"mmmm")</f>
        <v>February</v>
      </c>
      <c r="P52" t="str">
        <f>IF(Table1[[#This Row],[Salary]]&lt;40000,"Low",IF(Table1[[#This Row],[Salary]]&lt;70000,"Medium",IF(Table1[[#This Row],[Salary]]&gt;70000,"High")))</f>
        <v>High</v>
      </c>
    </row>
    <row r="53" spans="1:16" x14ac:dyDescent="0.35">
      <c r="A53" t="s">
        <v>131</v>
      </c>
      <c r="B53" t="s">
        <v>132</v>
      </c>
      <c r="C53" t="s">
        <v>14</v>
      </c>
      <c r="D53" t="s">
        <v>26</v>
      </c>
      <c r="E53" t="s">
        <v>27</v>
      </c>
      <c r="F53" s="1">
        <v>44042</v>
      </c>
      <c r="G53">
        <v>100761</v>
      </c>
      <c r="H53">
        <v>4</v>
      </c>
      <c r="I53">
        <v>80.48</v>
      </c>
      <c r="J53">
        <v>27</v>
      </c>
      <c r="K53" t="s">
        <v>33</v>
      </c>
      <c r="L53" t="s">
        <v>18</v>
      </c>
      <c r="M53" s="1">
        <f>Table1[[#This Row],[Hire_Date]]</f>
        <v>44042</v>
      </c>
      <c r="N53">
        <f>MONTH(Table1[[#This Row],[Hire_Date]])</f>
        <v>7</v>
      </c>
      <c r="O53" t="str">
        <f>TEXT(Table1[[#This Row],[Hire_Date]],"mmmm")</f>
        <v>July</v>
      </c>
      <c r="P53" t="str">
        <f>IF(Table1[[#This Row],[Salary]]&lt;40000,"Low",IF(Table1[[#This Row],[Salary]]&lt;70000,"Medium",IF(Table1[[#This Row],[Salary]]&gt;70000,"High")))</f>
        <v>High</v>
      </c>
    </row>
    <row r="54" spans="1:16" x14ac:dyDescent="0.35">
      <c r="A54" t="s">
        <v>133</v>
      </c>
      <c r="B54" t="s">
        <v>134</v>
      </c>
      <c r="C54" t="s">
        <v>39</v>
      </c>
      <c r="D54" t="s">
        <v>26</v>
      </c>
      <c r="E54" t="s">
        <v>22</v>
      </c>
      <c r="F54" s="1">
        <v>45551</v>
      </c>
      <c r="G54">
        <v>115599</v>
      </c>
      <c r="H54">
        <v>2</v>
      </c>
      <c r="I54">
        <v>88.01</v>
      </c>
      <c r="J54">
        <v>38</v>
      </c>
      <c r="K54" t="s">
        <v>33</v>
      </c>
      <c r="L54" t="s">
        <v>23</v>
      </c>
      <c r="M54" s="1">
        <f>Table1[[#This Row],[Hire_Date]]</f>
        <v>45551</v>
      </c>
      <c r="N54">
        <f>MONTH(Table1[[#This Row],[Hire_Date]])</f>
        <v>9</v>
      </c>
      <c r="O54" t="str">
        <f>TEXT(Table1[[#This Row],[Hire_Date]],"mmmm")</f>
        <v>September</v>
      </c>
      <c r="P54" t="str">
        <f>IF(Table1[[#This Row],[Salary]]&lt;40000,"Low",IF(Table1[[#This Row],[Salary]]&lt;70000,"Medium",IF(Table1[[#This Row],[Salary]]&gt;70000,"High")))</f>
        <v>High</v>
      </c>
    </row>
    <row r="55" spans="1:16" x14ac:dyDescent="0.35">
      <c r="A55" t="s">
        <v>135</v>
      </c>
      <c r="B55" t="s">
        <v>136</v>
      </c>
      <c r="C55" t="s">
        <v>14</v>
      </c>
      <c r="D55" t="s">
        <v>21</v>
      </c>
      <c r="E55" t="s">
        <v>16</v>
      </c>
      <c r="F55" s="1">
        <v>44364</v>
      </c>
      <c r="G55">
        <v>105490</v>
      </c>
      <c r="H55">
        <v>4</v>
      </c>
      <c r="I55">
        <v>87.66</v>
      </c>
      <c r="J55">
        <v>10</v>
      </c>
      <c r="K55" t="s">
        <v>17</v>
      </c>
      <c r="L55" t="s">
        <v>23</v>
      </c>
      <c r="M55" s="1">
        <f>Table1[[#This Row],[Hire_Date]]</f>
        <v>44364</v>
      </c>
      <c r="N55">
        <f>MONTH(Table1[[#This Row],[Hire_Date]])</f>
        <v>6</v>
      </c>
      <c r="O55" t="str">
        <f>TEXT(Table1[[#This Row],[Hire_Date]],"mmmm")</f>
        <v>June</v>
      </c>
      <c r="P55" t="str">
        <f>IF(Table1[[#This Row],[Salary]]&lt;40000,"Low",IF(Table1[[#This Row],[Salary]]&lt;70000,"Medium",IF(Table1[[#This Row],[Salary]]&gt;70000,"High")))</f>
        <v>High</v>
      </c>
    </row>
    <row r="56" spans="1:16" x14ac:dyDescent="0.35">
      <c r="A56" t="s">
        <v>137</v>
      </c>
      <c r="B56" t="s">
        <v>138</v>
      </c>
      <c r="C56" t="s">
        <v>39</v>
      </c>
      <c r="D56" t="s">
        <v>15</v>
      </c>
      <c r="E56" t="s">
        <v>27</v>
      </c>
      <c r="F56" s="1">
        <v>44788</v>
      </c>
      <c r="G56">
        <v>112750</v>
      </c>
      <c r="H56">
        <v>4</v>
      </c>
      <c r="I56">
        <v>94.48</v>
      </c>
      <c r="J56">
        <v>20</v>
      </c>
      <c r="K56" t="s">
        <v>17</v>
      </c>
      <c r="L56" t="s">
        <v>18</v>
      </c>
      <c r="M56" s="1">
        <f>Table1[[#This Row],[Hire_Date]]</f>
        <v>44788</v>
      </c>
      <c r="N56">
        <f>MONTH(Table1[[#This Row],[Hire_Date]])</f>
        <v>8</v>
      </c>
      <c r="O56" t="str">
        <f>TEXT(Table1[[#This Row],[Hire_Date]],"mmmm")</f>
        <v>August</v>
      </c>
      <c r="P56" t="str">
        <f>IF(Table1[[#This Row],[Salary]]&lt;40000,"Low",IF(Table1[[#This Row],[Salary]]&lt;70000,"Medium",IF(Table1[[#This Row],[Salary]]&gt;70000,"High")))</f>
        <v>High</v>
      </c>
    </row>
    <row r="57" spans="1:16" x14ac:dyDescent="0.35">
      <c r="A57" t="s">
        <v>139</v>
      </c>
      <c r="B57" t="s">
        <v>140</v>
      </c>
      <c r="C57" t="s">
        <v>39</v>
      </c>
      <c r="D57" t="s">
        <v>31</v>
      </c>
      <c r="E57" t="s">
        <v>22</v>
      </c>
      <c r="F57" s="1">
        <v>44940</v>
      </c>
      <c r="G57">
        <v>102862</v>
      </c>
      <c r="H57">
        <v>2</v>
      </c>
      <c r="I57">
        <v>98.71</v>
      </c>
      <c r="J57">
        <v>29</v>
      </c>
      <c r="K57" t="s">
        <v>17</v>
      </c>
      <c r="L57" t="s">
        <v>28</v>
      </c>
      <c r="M57" s="1">
        <f>Table1[[#This Row],[Hire_Date]]</f>
        <v>44940</v>
      </c>
      <c r="N57">
        <f>MONTH(Table1[[#This Row],[Hire_Date]])</f>
        <v>1</v>
      </c>
      <c r="O57" t="str">
        <f>TEXT(Table1[[#This Row],[Hire_Date]],"mmmm")</f>
        <v>January</v>
      </c>
      <c r="P57" t="str">
        <f>IF(Table1[[#This Row],[Salary]]&lt;40000,"Low",IF(Table1[[#This Row],[Salary]]&lt;70000,"Medium",IF(Table1[[#This Row],[Salary]]&gt;70000,"High")))</f>
        <v>High</v>
      </c>
    </row>
    <row r="58" spans="1:16" x14ac:dyDescent="0.35">
      <c r="A58" t="s">
        <v>141</v>
      </c>
      <c r="B58" t="s">
        <v>142</v>
      </c>
      <c r="C58" t="s">
        <v>39</v>
      </c>
      <c r="D58" t="s">
        <v>26</v>
      </c>
      <c r="E58" t="s">
        <v>16</v>
      </c>
      <c r="F58" s="1">
        <v>44388</v>
      </c>
      <c r="G58">
        <v>73611</v>
      </c>
      <c r="H58">
        <v>1</v>
      </c>
      <c r="I58">
        <v>87.73</v>
      </c>
      <c r="J58">
        <v>13</v>
      </c>
      <c r="K58" t="s">
        <v>33</v>
      </c>
      <c r="L58" t="s">
        <v>28</v>
      </c>
      <c r="M58" s="1">
        <f>Table1[[#This Row],[Hire_Date]]</f>
        <v>44388</v>
      </c>
      <c r="N58">
        <f>MONTH(Table1[[#This Row],[Hire_Date]])</f>
        <v>7</v>
      </c>
      <c r="O58" t="str">
        <f>TEXT(Table1[[#This Row],[Hire_Date]],"mmmm")</f>
        <v>July</v>
      </c>
      <c r="P58" t="str">
        <f>IF(Table1[[#This Row],[Salary]]&lt;40000,"Low",IF(Table1[[#This Row],[Salary]]&lt;70000,"Medium",IF(Table1[[#This Row],[Salary]]&gt;70000,"High")))</f>
        <v>High</v>
      </c>
    </row>
    <row r="59" spans="1:16" x14ac:dyDescent="0.35">
      <c r="A59" t="s">
        <v>143</v>
      </c>
      <c r="B59" t="s">
        <v>144</v>
      </c>
      <c r="C59" t="s">
        <v>14</v>
      </c>
      <c r="D59" t="s">
        <v>26</v>
      </c>
      <c r="E59" t="s">
        <v>32</v>
      </c>
      <c r="F59" s="1">
        <v>44069</v>
      </c>
      <c r="G59">
        <v>89329</v>
      </c>
      <c r="H59">
        <v>3</v>
      </c>
      <c r="I59">
        <v>78.94</v>
      </c>
      <c r="J59">
        <v>34</v>
      </c>
      <c r="K59" t="s">
        <v>17</v>
      </c>
      <c r="L59" t="s">
        <v>28</v>
      </c>
      <c r="M59" s="1">
        <f>Table1[[#This Row],[Hire_Date]]</f>
        <v>44069</v>
      </c>
      <c r="N59">
        <f>MONTH(Table1[[#This Row],[Hire_Date]])</f>
        <v>8</v>
      </c>
      <c r="O59" t="str">
        <f>TEXT(Table1[[#This Row],[Hire_Date]],"mmmm")</f>
        <v>August</v>
      </c>
      <c r="P59" t="str">
        <f>IF(Table1[[#This Row],[Salary]]&lt;40000,"Low",IF(Table1[[#This Row],[Salary]]&lt;70000,"Medium",IF(Table1[[#This Row],[Salary]]&gt;70000,"High")))</f>
        <v>High</v>
      </c>
    </row>
    <row r="60" spans="1:16" x14ac:dyDescent="0.35">
      <c r="A60" t="s">
        <v>145</v>
      </c>
      <c r="B60" t="s">
        <v>146</v>
      </c>
      <c r="C60" t="s">
        <v>39</v>
      </c>
      <c r="D60" t="s">
        <v>44</v>
      </c>
      <c r="E60" t="s">
        <v>22</v>
      </c>
      <c r="F60" s="1">
        <v>43747</v>
      </c>
      <c r="G60">
        <v>39715</v>
      </c>
      <c r="H60">
        <v>5</v>
      </c>
      <c r="I60">
        <v>96.1</v>
      </c>
      <c r="J60">
        <v>5</v>
      </c>
      <c r="K60" t="s">
        <v>17</v>
      </c>
      <c r="L60" t="s">
        <v>23</v>
      </c>
      <c r="M60" s="1">
        <f>Table1[[#This Row],[Hire_Date]]</f>
        <v>43747</v>
      </c>
      <c r="N60">
        <f>MONTH(Table1[[#This Row],[Hire_Date]])</f>
        <v>10</v>
      </c>
      <c r="O60" t="str">
        <f>TEXT(Table1[[#This Row],[Hire_Date]],"mmmm")</f>
        <v>October</v>
      </c>
      <c r="P60" t="str">
        <f>IF(Table1[[#This Row],[Salary]]&lt;40000,"Low",IF(Table1[[#This Row],[Salary]]&lt;70000,"Medium",IF(Table1[[#This Row],[Salary]]&gt;70000,"High")))</f>
        <v>Low</v>
      </c>
    </row>
    <row r="61" spans="1:16" x14ac:dyDescent="0.35">
      <c r="A61" t="s">
        <v>147</v>
      </c>
      <c r="B61" t="s">
        <v>148</v>
      </c>
      <c r="C61" t="s">
        <v>14</v>
      </c>
      <c r="D61" t="s">
        <v>26</v>
      </c>
      <c r="E61" t="s">
        <v>16</v>
      </c>
      <c r="F61" s="1">
        <v>45176</v>
      </c>
      <c r="G61">
        <v>36731</v>
      </c>
      <c r="H61">
        <v>3</v>
      </c>
      <c r="I61">
        <v>78.45</v>
      </c>
      <c r="J61">
        <v>34</v>
      </c>
      <c r="K61" t="s">
        <v>33</v>
      </c>
      <c r="L61" t="s">
        <v>18</v>
      </c>
      <c r="M61" s="1">
        <f>Table1[[#This Row],[Hire_Date]]</f>
        <v>45176</v>
      </c>
      <c r="N61">
        <f>MONTH(Table1[[#This Row],[Hire_Date]])</f>
        <v>9</v>
      </c>
      <c r="O61" t="str">
        <f>TEXT(Table1[[#This Row],[Hire_Date]],"mmmm")</f>
        <v>September</v>
      </c>
      <c r="P61" t="str">
        <f>IF(Table1[[#This Row],[Salary]]&lt;40000,"Low",IF(Table1[[#This Row],[Salary]]&lt;70000,"Medium",IF(Table1[[#This Row],[Salary]]&gt;70000,"High")))</f>
        <v>Low</v>
      </c>
    </row>
    <row r="62" spans="1:16" x14ac:dyDescent="0.35">
      <c r="A62" t="s">
        <v>149</v>
      </c>
      <c r="B62" t="s">
        <v>150</v>
      </c>
      <c r="C62" t="s">
        <v>39</v>
      </c>
      <c r="D62" t="s">
        <v>26</v>
      </c>
      <c r="E62" t="s">
        <v>27</v>
      </c>
      <c r="F62" s="1">
        <v>45071</v>
      </c>
      <c r="G62">
        <v>70898</v>
      </c>
      <c r="H62">
        <v>1</v>
      </c>
      <c r="I62">
        <v>89.35</v>
      </c>
      <c r="J62">
        <v>6</v>
      </c>
      <c r="K62" t="s">
        <v>17</v>
      </c>
      <c r="L62" t="s">
        <v>34</v>
      </c>
      <c r="M62" s="1">
        <f>Table1[[#This Row],[Hire_Date]]</f>
        <v>45071</v>
      </c>
      <c r="N62">
        <f>MONTH(Table1[[#This Row],[Hire_Date]])</f>
        <v>5</v>
      </c>
      <c r="O62" t="str">
        <f>TEXT(Table1[[#This Row],[Hire_Date]],"mmmm")</f>
        <v>May</v>
      </c>
      <c r="P62" t="str">
        <f>IF(Table1[[#This Row],[Salary]]&lt;40000,"Low",IF(Table1[[#This Row],[Salary]]&lt;70000,"Medium",IF(Table1[[#This Row],[Salary]]&gt;70000,"High")))</f>
        <v>High</v>
      </c>
    </row>
    <row r="63" spans="1:16" x14ac:dyDescent="0.35">
      <c r="A63" t="s">
        <v>151</v>
      </c>
      <c r="B63" t="s">
        <v>152</v>
      </c>
      <c r="C63" t="s">
        <v>14</v>
      </c>
      <c r="D63" t="s">
        <v>21</v>
      </c>
      <c r="E63" t="s">
        <v>32</v>
      </c>
      <c r="F63" s="1">
        <v>45445</v>
      </c>
      <c r="G63">
        <v>43820</v>
      </c>
      <c r="H63">
        <v>1</v>
      </c>
      <c r="I63">
        <v>97.3</v>
      </c>
      <c r="J63">
        <v>14</v>
      </c>
      <c r="K63" t="s">
        <v>17</v>
      </c>
      <c r="L63" t="s">
        <v>23</v>
      </c>
      <c r="M63" s="1">
        <f>Table1[[#This Row],[Hire_Date]]</f>
        <v>45445</v>
      </c>
      <c r="N63">
        <f>MONTH(Table1[[#This Row],[Hire_Date]])</f>
        <v>6</v>
      </c>
      <c r="O63" t="str">
        <f>TEXT(Table1[[#This Row],[Hire_Date]],"mmmm")</f>
        <v>June</v>
      </c>
      <c r="P63" t="str">
        <f>IF(Table1[[#This Row],[Salary]]&lt;40000,"Low",IF(Table1[[#This Row],[Salary]]&lt;70000,"Medium",IF(Table1[[#This Row],[Salary]]&gt;70000,"High")))</f>
        <v>Medium</v>
      </c>
    </row>
    <row r="64" spans="1:16" x14ac:dyDescent="0.35">
      <c r="A64" t="s">
        <v>153</v>
      </c>
      <c r="B64" t="s">
        <v>64</v>
      </c>
      <c r="C64" t="s">
        <v>39</v>
      </c>
      <c r="D64" t="s">
        <v>21</v>
      </c>
      <c r="E64" t="s">
        <v>16</v>
      </c>
      <c r="F64" s="1">
        <v>45517</v>
      </c>
      <c r="G64">
        <v>49002</v>
      </c>
      <c r="H64">
        <v>2</v>
      </c>
      <c r="I64">
        <v>99.89</v>
      </c>
      <c r="J64">
        <v>22</v>
      </c>
      <c r="K64" t="s">
        <v>17</v>
      </c>
      <c r="L64" t="s">
        <v>34</v>
      </c>
      <c r="M64" s="1">
        <f>Table1[[#This Row],[Hire_Date]]</f>
        <v>45517</v>
      </c>
      <c r="N64">
        <f>MONTH(Table1[[#This Row],[Hire_Date]])</f>
        <v>8</v>
      </c>
      <c r="O64" t="str">
        <f>TEXT(Table1[[#This Row],[Hire_Date]],"mmmm")</f>
        <v>August</v>
      </c>
      <c r="P64" t="str">
        <f>IF(Table1[[#This Row],[Salary]]&lt;40000,"Low",IF(Table1[[#This Row],[Salary]]&lt;70000,"Medium",IF(Table1[[#This Row],[Salary]]&gt;70000,"High")))</f>
        <v>Medium</v>
      </c>
    </row>
    <row r="65" spans="1:16" x14ac:dyDescent="0.35">
      <c r="A65" t="s">
        <v>154</v>
      </c>
      <c r="B65" t="s">
        <v>155</v>
      </c>
      <c r="C65" t="s">
        <v>39</v>
      </c>
      <c r="D65" t="s">
        <v>21</v>
      </c>
      <c r="E65" t="s">
        <v>32</v>
      </c>
      <c r="F65" s="1">
        <v>44228</v>
      </c>
      <c r="G65">
        <v>32090</v>
      </c>
      <c r="H65">
        <v>2</v>
      </c>
      <c r="I65">
        <v>79.44</v>
      </c>
      <c r="J65">
        <v>3</v>
      </c>
      <c r="K65" t="s">
        <v>17</v>
      </c>
      <c r="L65" t="s">
        <v>18</v>
      </c>
      <c r="M65" s="1">
        <f>Table1[[#This Row],[Hire_Date]]</f>
        <v>44228</v>
      </c>
      <c r="N65">
        <f>MONTH(Table1[[#This Row],[Hire_Date]])</f>
        <v>2</v>
      </c>
      <c r="O65" t="str">
        <f>TEXT(Table1[[#This Row],[Hire_Date]],"mmmm")</f>
        <v>February</v>
      </c>
      <c r="P65" t="str">
        <f>IF(Table1[[#This Row],[Salary]]&lt;40000,"Low",IF(Table1[[#This Row],[Salary]]&lt;70000,"Medium",IF(Table1[[#This Row],[Salary]]&gt;70000,"High")))</f>
        <v>Low</v>
      </c>
    </row>
    <row r="66" spans="1:16" x14ac:dyDescent="0.35">
      <c r="A66" t="s">
        <v>156</v>
      </c>
      <c r="B66" t="s">
        <v>157</v>
      </c>
      <c r="C66" t="s">
        <v>14</v>
      </c>
      <c r="D66" t="s">
        <v>21</v>
      </c>
      <c r="E66" t="s">
        <v>22</v>
      </c>
      <c r="F66" s="1">
        <v>44759</v>
      </c>
      <c r="G66">
        <v>40435</v>
      </c>
      <c r="H66">
        <v>4</v>
      </c>
      <c r="I66">
        <v>78.77</v>
      </c>
      <c r="J66">
        <v>6</v>
      </c>
      <c r="K66" t="s">
        <v>33</v>
      </c>
      <c r="L66" t="s">
        <v>34</v>
      </c>
      <c r="M66" s="1">
        <f>Table1[[#This Row],[Hire_Date]]</f>
        <v>44759</v>
      </c>
      <c r="N66">
        <f>MONTH(Table1[[#This Row],[Hire_Date]])</f>
        <v>7</v>
      </c>
      <c r="O66" t="str">
        <f>TEXT(Table1[[#This Row],[Hire_Date]],"mmmm")</f>
        <v>July</v>
      </c>
      <c r="P66" t="str">
        <f>IF(Table1[[#This Row],[Salary]]&lt;40000,"Low",IF(Table1[[#This Row],[Salary]]&lt;70000,"Medium",IF(Table1[[#This Row],[Salary]]&gt;70000,"High")))</f>
        <v>Medium</v>
      </c>
    </row>
    <row r="67" spans="1:16" x14ac:dyDescent="0.35">
      <c r="A67" t="s">
        <v>158</v>
      </c>
      <c r="B67" t="s">
        <v>60</v>
      </c>
      <c r="C67" t="s">
        <v>39</v>
      </c>
      <c r="D67" t="s">
        <v>31</v>
      </c>
      <c r="E67" t="s">
        <v>32</v>
      </c>
      <c r="F67" s="1">
        <v>44485</v>
      </c>
      <c r="G67">
        <v>100918</v>
      </c>
      <c r="H67">
        <v>3</v>
      </c>
      <c r="I67">
        <v>89.71</v>
      </c>
      <c r="J67">
        <v>15</v>
      </c>
      <c r="K67" t="s">
        <v>33</v>
      </c>
      <c r="L67" t="s">
        <v>34</v>
      </c>
      <c r="M67" s="1">
        <f>Table1[[#This Row],[Hire_Date]]</f>
        <v>44485</v>
      </c>
      <c r="N67">
        <f>MONTH(Table1[[#This Row],[Hire_Date]])</f>
        <v>10</v>
      </c>
      <c r="O67" t="str">
        <f>TEXT(Table1[[#This Row],[Hire_Date]],"mmmm")</f>
        <v>October</v>
      </c>
      <c r="P67" t="str">
        <f>IF(Table1[[#This Row],[Salary]]&lt;40000,"Low",IF(Table1[[#This Row],[Salary]]&lt;70000,"Medium",IF(Table1[[#This Row],[Salary]]&gt;70000,"High")))</f>
        <v>High</v>
      </c>
    </row>
    <row r="68" spans="1:16" x14ac:dyDescent="0.35">
      <c r="A68" t="s">
        <v>159</v>
      </c>
      <c r="B68" t="s">
        <v>160</v>
      </c>
      <c r="C68" t="s">
        <v>39</v>
      </c>
      <c r="D68" t="s">
        <v>26</v>
      </c>
      <c r="E68" t="s">
        <v>16</v>
      </c>
      <c r="F68" s="1">
        <v>44888</v>
      </c>
      <c r="G68">
        <v>86741</v>
      </c>
      <c r="H68">
        <v>5</v>
      </c>
      <c r="I68">
        <v>90.33</v>
      </c>
      <c r="J68">
        <v>26</v>
      </c>
      <c r="K68" t="s">
        <v>33</v>
      </c>
      <c r="L68" t="s">
        <v>28</v>
      </c>
      <c r="M68" s="1">
        <f>Table1[[#This Row],[Hire_Date]]</f>
        <v>44888</v>
      </c>
      <c r="N68">
        <f>MONTH(Table1[[#This Row],[Hire_Date]])</f>
        <v>11</v>
      </c>
      <c r="O68" t="str">
        <f>TEXT(Table1[[#This Row],[Hire_Date]],"mmmm")</f>
        <v>November</v>
      </c>
      <c r="P68" t="str">
        <f>IF(Table1[[#This Row],[Salary]]&lt;40000,"Low",IF(Table1[[#This Row],[Salary]]&lt;70000,"Medium",IF(Table1[[#This Row],[Salary]]&gt;70000,"High")))</f>
        <v>High</v>
      </c>
    </row>
    <row r="69" spans="1:16" x14ac:dyDescent="0.35">
      <c r="A69" t="s">
        <v>161</v>
      </c>
      <c r="B69" t="s">
        <v>162</v>
      </c>
      <c r="C69" t="s">
        <v>14</v>
      </c>
      <c r="D69" t="s">
        <v>44</v>
      </c>
      <c r="E69" t="s">
        <v>16</v>
      </c>
      <c r="F69" s="1">
        <v>43242</v>
      </c>
      <c r="G69">
        <v>111120</v>
      </c>
      <c r="H69">
        <v>5</v>
      </c>
      <c r="I69">
        <v>97.61</v>
      </c>
      <c r="J69">
        <v>15</v>
      </c>
      <c r="K69" t="s">
        <v>17</v>
      </c>
      <c r="L69" t="s">
        <v>28</v>
      </c>
      <c r="M69" s="1">
        <f>Table1[[#This Row],[Hire_Date]]</f>
        <v>43242</v>
      </c>
      <c r="N69">
        <f>MONTH(Table1[[#This Row],[Hire_Date]])</f>
        <v>5</v>
      </c>
      <c r="O69" t="str">
        <f>TEXT(Table1[[#This Row],[Hire_Date]],"mmmm")</f>
        <v>May</v>
      </c>
      <c r="P69" t="str">
        <f>IF(Table1[[#This Row],[Salary]]&lt;40000,"Low",IF(Table1[[#This Row],[Salary]]&lt;70000,"Medium",IF(Table1[[#This Row],[Salary]]&gt;70000,"High")))</f>
        <v>High</v>
      </c>
    </row>
    <row r="70" spans="1:16" x14ac:dyDescent="0.35">
      <c r="A70" t="s">
        <v>163</v>
      </c>
      <c r="B70" t="s">
        <v>164</v>
      </c>
      <c r="C70" t="s">
        <v>39</v>
      </c>
      <c r="D70" t="s">
        <v>44</v>
      </c>
      <c r="E70" t="s">
        <v>16</v>
      </c>
      <c r="F70" s="1">
        <v>45470</v>
      </c>
      <c r="G70">
        <v>89727</v>
      </c>
      <c r="H70">
        <v>5</v>
      </c>
      <c r="I70">
        <v>83.08</v>
      </c>
      <c r="J70">
        <v>38</v>
      </c>
      <c r="K70" t="s">
        <v>17</v>
      </c>
      <c r="L70" t="s">
        <v>34</v>
      </c>
      <c r="M70" s="1">
        <f>Table1[[#This Row],[Hire_Date]]</f>
        <v>45470</v>
      </c>
      <c r="N70">
        <f>MONTH(Table1[[#This Row],[Hire_Date]])</f>
        <v>6</v>
      </c>
      <c r="O70" t="str">
        <f>TEXT(Table1[[#This Row],[Hire_Date]],"mmmm")</f>
        <v>June</v>
      </c>
      <c r="P70" t="str">
        <f>IF(Table1[[#This Row],[Salary]]&lt;40000,"Low",IF(Table1[[#This Row],[Salary]]&lt;70000,"Medium",IF(Table1[[#This Row],[Salary]]&gt;70000,"High")))</f>
        <v>High</v>
      </c>
    </row>
    <row r="71" spans="1:16" x14ac:dyDescent="0.35">
      <c r="A71" t="s">
        <v>165</v>
      </c>
      <c r="B71" t="s">
        <v>166</v>
      </c>
      <c r="C71" t="s">
        <v>39</v>
      </c>
      <c r="D71" t="s">
        <v>26</v>
      </c>
      <c r="E71" t="s">
        <v>16</v>
      </c>
      <c r="F71" s="1">
        <v>43155</v>
      </c>
      <c r="G71">
        <v>108346</v>
      </c>
      <c r="H71">
        <v>1</v>
      </c>
      <c r="I71">
        <v>82.52</v>
      </c>
      <c r="J71">
        <v>35</v>
      </c>
      <c r="K71" t="s">
        <v>33</v>
      </c>
      <c r="L71" t="s">
        <v>23</v>
      </c>
      <c r="M71" s="1">
        <f>Table1[[#This Row],[Hire_Date]]</f>
        <v>43155</v>
      </c>
      <c r="N71">
        <f>MONTH(Table1[[#This Row],[Hire_Date]])</f>
        <v>2</v>
      </c>
      <c r="O71" t="str">
        <f>TEXT(Table1[[#This Row],[Hire_Date]],"mmmm")</f>
        <v>February</v>
      </c>
      <c r="P71" t="str">
        <f>IF(Table1[[#This Row],[Salary]]&lt;40000,"Low",IF(Table1[[#This Row],[Salary]]&lt;70000,"Medium",IF(Table1[[#This Row],[Salary]]&gt;70000,"High")))</f>
        <v>High</v>
      </c>
    </row>
    <row r="72" spans="1:16" x14ac:dyDescent="0.35">
      <c r="A72" t="s">
        <v>167</v>
      </c>
      <c r="B72" t="s">
        <v>114</v>
      </c>
      <c r="C72" t="s">
        <v>14</v>
      </c>
      <c r="D72" t="s">
        <v>31</v>
      </c>
      <c r="E72" t="s">
        <v>22</v>
      </c>
      <c r="F72" s="1">
        <v>43866</v>
      </c>
      <c r="G72">
        <v>47664</v>
      </c>
      <c r="H72">
        <v>5</v>
      </c>
      <c r="I72">
        <v>88.16</v>
      </c>
      <c r="J72">
        <v>38</v>
      </c>
      <c r="K72" t="s">
        <v>17</v>
      </c>
      <c r="L72" t="s">
        <v>18</v>
      </c>
      <c r="M72" s="1">
        <f>Table1[[#This Row],[Hire_Date]]</f>
        <v>43866</v>
      </c>
      <c r="N72">
        <f>MONTH(Table1[[#This Row],[Hire_Date]])</f>
        <v>2</v>
      </c>
      <c r="O72" t="str">
        <f>TEXT(Table1[[#This Row],[Hire_Date]],"mmmm")</f>
        <v>February</v>
      </c>
      <c r="P72" t="str">
        <f>IF(Table1[[#This Row],[Salary]]&lt;40000,"Low",IF(Table1[[#This Row],[Salary]]&lt;70000,"Medium",IF(Table1[[#This Row],[Salary]]&gt;70000,"High")))</f>
        <v>Medium</v>
      </c>
    </row>
    <row r="73" spans="1:16" x14ac:dyDescent="0.35">
      <c r="A73" t="s">
        <v>168</v>
      </c>
      <c r="B73" t="s">
        <v>169</v>
      </c>
      <c r="C73" t="s">
        <v>39</v>
      </c>
      <c r="D73" t="s">
        <v>44</v>
      </c>
      <c r="E73" t="s">
        <v>16</v>
      </c>
      <c r="F73" s="1">
        <v>44001</v>
      </c>
      <c r="G73">
        <v>71538</v>
      </c>
      <c r="H73">
        <v>2</v>
      </c>
      <c r="I73">
        <v>79.38</v>
      </c>
      <c r="J73">
        <v>9</v>
      </c>
      <c r="K73" t="s">
        <v>33</v>
      </c>
      <c r="L73" t="s">
        <v>23</v>
      </c>
      <c r="M73" s="1">
        <f>Table1[[#This Row],[Hire_Date]]</f>
        <v>44001</v>
      </c>
      <c r="N73">
        <f>MONTH(Table1[[#This Row],[Hire_Date]])</f>
        <v>6</v>
      </c>
      <c r="O73" t="str">
        <f>TEXT(Table1[[#This Row],[Hire_Date]],"mmmm")</f>
        <v>June</v>
      </c>
      <c r="P73" t="str">
        <f>IF(Table1[[#This Row],[Salary]]&lt;40000,"Low",IF(Table1[[#This Row],[Salary]]&lt;70000,"Medium",IF(Table1[[#This Row],[Salary]]&gt;70000,"High")))</f>
        <v>High</v>
      </c>
    </row>
    <row r="74" spans="1:16" x14ac:dyDescent="0.35">
      <c r="A74" t="s">
        <v>170</v>
      </c>
      <c r="B74" t="s">
        <v>171</v>
      </c>
      <c r="C74" t="s">
        <v>14</v>
      </c>
      <c r="D74" t="s">
        <v>44</v>
      </c>
      <c r="E74" t="s">
        <v>32</v>
      </c>
      <c r="F74" s="1">
        <v>44186</v>
      </c>
      <c r="G74">
        <v>74756</v>
      </c>
      <c r="H74">
        <v>3</v>
      </c>
      <c r="I74">
        <v>87.98</v>
      </c>
      <c r="J74">
        <v>16</v>
      </c>
      <c r="K74" t="s">
        <v>17</v>
      </c>
      <c r="L74" t="s">
        <v>34</v>
      </c>
      <c r="M74" s="1">
        <f>Table1[[#This Row],[Hire_Date]]</f>
        <v>44186</v>
      </c>
      <c r="N74">
        <f>MONTH(Table1[[#This Row],[Hire_Date]])</f>
        <v>12</v>
      </c>
      <c r="O74" t="str">
        <f>TEXT(Table1[[#This Row],[Hire_Date]],"mmmm")</f>
        <v>December</v>
      </c>
      <c r="P74" t="str">
        <f>IF(Table1[[#This Row],[Salary]]&lt;40000,"Low",IF(Table1[[#This Row],[Salary]]&lt;70000,"Medium",IF(Table1[[#This Row],[Salary]]&gt;70000,"High")))</f>
        <v>High</v>
      </c>
    </row>
    <row r="75" spans="1:16" x14ac:dyDescent="0.35">
      <c r="A75" t="s">
        <v>172</v>
      </c>
      <c r="B75" t="s">
        <v>173</v>
      </c>
      <c r="C75" t="s">
        <v>39</v>
      </c>
      <c r="D75" t="s">
        <v>26</v>
      </c>
      <c r="E75" t="s">
        <v>22</v>
      </c>
      <c r="F75" s="1">
        <v>43588</v>
      </c>
      <c r="G75">
        <v>80239</v>
      </c>
      <c r="H75">
        <v>2</v>
      </c>
      <c r="I75">
        <v>84.24</v>
      </c>
      <c r="J75">
        <v>5</v>
      </c>
      <c r="K75" t="s">
        <v>17</v>
      </c>
      <c r="L75" t="s">
        <v>28</v>
      </c>
      <c r="M75" s="1">
        <f>Table1[[#This Row],[Hire_Date]]</f>
        <v>43588</v>
      </c>
      <c r="N75">
        <f>MONTH(Table1[[#This Row],[Hire_Date]])</f>
        <v>5</v>
      </c>
      <c r="O75" t="str">
        <f>TEXT(Table1[[#This Row],[Hire_Date]],"mmmm")</f>
        <v>May</v>
      </c>
      <c r="P75" t="str">
        <f>IF(Table1[[#This Row],[Salary]]&lt;40000,"Low",IF(Table1[[#This Row],[Salary]]&lt;70000,"Medium",IF(Table1[[#This Row],[Salary]]&gt;70000,"High")))</f>
        <v>High</v>
      </c>
    </row>
    <row r="76" spans="1:16" x14ac:dyDescent="0.35">
      <c r="A76" t="s">
        <v>174</v>
      </c>
      <c r="B76" t="s">
        <v>175</v>
      </c>
      <c r="C76" t="s">
        <v>39</v>
      </c>
      <c r="D76" t="s">
        <v>21</v>
      </c>
      <c r="E76" t="s">
        <v>22</v>
      </c>
      <c r="F76" s="1">
        <v>43694</v>
      </c>
      <c r="G76">
        <v>44862</v>
      </c>
      <c r="H76">
        <v>1</v>
      </c>
      <c r="I76">
        <v>90.33</v>
      </c>
      <c r="J76">
        <v>27</v>
      </c>
      <c r="K76" t="s">
        <v>33</v>
      </c>
      <c r="L76" t="s">
        <v>18</v>
      </c>
      <c r="M76" s="1">
        <f>Table1[[#This Row],[Hire_Date]]</f>
        <v>43694</v>
      </c>
      <c r="N76">
        <f>MONTH(Table1[[#This Row],[Hire_Date]])</f>
        <v>8</v>
      </c>
      <c r="O76" t="str">
        <f>TEXT(Table1[[#This Row],[Hire_Date]],"mmmm")</f>
        <v>August</v>
      </c>
      <c r="P76" t="str">
        <f>IF(Table1[[#This Row],[Salary]]&lt;40000,"Low",IF(Table1[[#This Row],[Salary]]&lt;70000,"Medium",IF(Table1[[#This Row],[Salary]]&gt;70000,"High")))</f>
        <v>Medium</v>
      </c>
    </row>
    <row r="77" spans="1:16" x14ac:dyDescent="0.35">
      <c r="A77" t="s">
        <v>176</v>
      </c>
      <c r="B77" t="s">
        <v>177</v>
      </c>
      <c r="C77" t="s">
        <v>14</v>
      </c>
      <c r="D77" t="s">
        <v>15</v>
      </c>
      <c r="E77" t="s">
        <v>22</v>
      </c>
      <c r="F77" s="1">
        <v>43158</v>
      </c>
      <c r="G77">
        <v>91883</v>
      </c>
      <c r="H77">
        <v>1</v>
      </c>
      <c r="I77">
        <v>84.4</v>
      </c>
      <c r="J77">
        <v>16</v>
      </c>
      <c r="K77" t="s">
        <v>33</v>
      </c>
      <c r="L77" t="s">
        <v>34</v>
      </c>
      <c r="M77" s="1">
        <f>Table1[[#This Row],[Hire_Date]]</f>
        <v>43158</v>
      </c>
      <c r="N77">
        <f>MONTH(Table1[[#This Row],[Hire_Date]])</f>
        <v>2</v>
      </c>
      <c r="O77" t="str">
        <f>TEXT(Table1[[#This Row],[Hire_Date]],"mmmm")</f>
        <v>February</v>
      </c>
      <c r="P77" t="str">
        <f>IF(Table1[[#This Row],[Salary]]&lt;40000,"Low",IF(Table1[[#This Row],[Salary]]&lt;70000,"Medium",IF(Table1[[#This Row],[Salary]]&gt;70000,"High")))</f>
        <v>High</v>
      </c>
    </row>
    <row r="78" spans="1:16" x14ac:dyDescent="0.35">
      <c r="A78" t="s">
        <v>178</v>
      </c>
      <c r="B78" t="s">
        <v>179</v>
      </c>
      <c r="C78" t="s">
        <v>39</v>
      </c>
      <c r="D78" t="s">
        <v>44</v>
      </c>
      <c r="E78" t="s">
        <v>22</v>
      </c>
      <c r="F78" s="1">
        <v>44498</v>
      </c>
      <c r="G78">
        <v>99746</v>
      </c>
      <c r="H78">
        <v>1</v>
      </c>
      <c r="I78">
        <v>95.32</v>
      </c>
      <c r="J78">
        <v>34</v>
      </c>
      <c r="K78" t="s">
        <v>33</v>
      </c>
      <c r="L78" t="s">
        <v>34</v>
      </c>
      <c r="M78" s="1">
        <f>Table1[[#This Row],[Hire_Date]]</f>
        <v>44498</v>
      </c>
      <c r="N78">
        <f>MONTH(Table1[[#This Row],[Hire_Date]])</f>
        <v>10</v>
      </c>
      <c r="O78" t="str">
        <f>TEXT(Table1[[#This Row],[Hire_Date]],"mmmm")</f>
        <v>October</v>
      </c>
      <c r="P78" t="str">
        <f>IF(Table1[[#This Row],[Salary]]&lt;40000,"Low",IF(Table1[[#This Row],[Salary]]&lt;70000,"Medium",IF(Table1[[#This Row],[Salary]]&gt;70000,"High")))</f>
        <v>High</v>
      </c>
    </row>
    <row r="79" spans="1:16" x14ac:dyDescent="0.35">
      <c r="A79" t="s">
        <v>180</v>
      </c>
      <c r="B79" t="s">
        <v>94</v>
      </c>
      <c r="C79" t="s">
        <v>39</v>
      </c>
      <c r="D79" t="s">
        <v>26</v>
      </c>
      <c r="E79" t="s">
        <v>22</v>
      </c>
      <c r="F79" s="1">
        <v>44776</v>
      </c>
      <c r="G79">
        <v>63459</v>
      </c>
      <c r="H79">
        <v>2</v>
      </c>
      <c r="I79">
        <v>95.7</v>
      </c>
      <c r="J79">
        <v>29</v>
      </c>
      <c r="K79" t="s">
        <v>33</v>
      </c>
      <c r="L79" t="s">
        <v>28</v>
      </c>
      <c r="M79" s="1">
        <f>Table1[[#This Row],[Hire_Date]]</f>
        <v>44776</v>
      </c>
      <c r="N79">
        <f>MONTH(Table1[[#This Row],[Hire_Date]])</f>
        <v>8</v>
      </c>
      <c r="O79" t="str">
        <f>TEXT(Table1[[#This Row],[Hire_Date]],"mmmm")</f>
        <v>August</v>
      </c>
      <c r="P79" t="str">
        <f>IF(Table1[[#This Row],[Salary]]&lt;40000,"Low",IF(Table1[[#This Row],[Salary]]&lt;70000,"Medium",IF(Table1[[#This Row],[Salary]]&gt;70000,"High")))</f>
        <v>Medium</v>
      </c>
    </row>
    <row r="80" spans="1:16" x14ac:dyDescent="0.35">
      <c r="A80" t="s">
        <v>181</v>
      </c>
      <c r="B80" t="s">
        <v>182</v>
      </c>
      <c r="C80" t="s">
        <v>39</v>
      </c>
      <c r="D80" t="s">
        <v>21</v>
      </c>
      <c r="E80" t="s">
        <v>22</v>
      </c>
      <c r="F80" s="1">
        <v>43558</v>
      </c>
      <c r="G80">
        <v>72946</v>
      </c>
      <c r="H80">
        <v>4</v>
      </c>
      <c r="I80">
        <v>92.86</v>
      </c>
      <c r="J80">
        <v>20</v>
      </c>
      <c r="K80" t="s">
        <v>33</v>
      </c>
      <c r="L80" t="s">
        <v>34</v>
      </c>
      <c r="M80" s="1">
        <f>Table1[[#This Row],[Hire_Date]]</f>
        <v>43558</v>
      </c>
      <c r="N80">
        <f>MONTH(Table1[[#This Row],[Hire_Date]])</f>
        <v>4</v>
      </c>
      <c r="O80" t="str">
        <f>TEXT(Table1[[#This Row],[Hire_Date]],"mmmm")</f>
        <v>April</v>
      </c>
      <c r="P80" t="str">
        <f>IF(Table1[[#This Row],[Salary]]&lt;40000,"Low",IF(Table1[[#This Row],[Salary]]&lt;70000,"Medium",IF(Table1[[#This Row],[Salary]]&gt;70000,"High")))</f>
        <v>High</v>
      </c>
    </row>
    <row r="81" spans="1:16" x14ac:dyDescent="0.35">
      <c r="A81" t="s">
        <v>183</v>
      </c>
      <c r="B81" t="s">
        <v>184</v>
      </c>
      <c r="C81" t="s">
        <v>14</v>
      </c>
      <c r="D81" t="s">
        <v>15</v>
      </c>
      <c r="E81" t="s">
        <v>22</v>
      </c>
      <c r="F81" s="1">
        <v>44785</v>
      </c>
      <c r="G81">
        <v>68537</v>
      </c>
      <c r="H81">
        <v>2</v>
      </c>
      <c r="I81">
        <v>78.599999999999994</v>
      </c>
      <c r="J81">
        <v>20</v>
      </c>
      <c r="K81" t="s">
        <v>33</v>
      </c>
      <c r="L81" t="s">
        <v>18</v>
      </c>
      <c r="M81" s="1">
        <f>Table1[[#This Row],[Hire_Date]]</f>
        <v>44785</v>
      </c>
      <c r="N81">
        <f>MONTH(Table1[[#This Row],[Hire_Date]])</f>
        <v>8</v>
      </c>
      <c r="O81" t="str">
        <f>TEXT(Table1[[#This Row],[Hire_Date]],"mmmm")</f>
        <v>August</v>
      </c>
      <c r="P81" t="str">
        <f>IF(Table1[[#This Row],[Salary]]&lt;40000,"Low",IF(Table1[[#This Row],[Salary]]&lt;70000,"Medium",IF(Table1[[#This Row],[Salary]]&gt;70000,"High")))</f>
        <v>Medium</v>
      </c>
    </row>
    <row r="82" spans="1:16" x14ac:dyDescent="0.35">
      <c r="A82" t="s">
        <v>185</v>
      </c>
      <c r="B82" t="s">
        <v>186</v>
      </c>
      <c r="C82" t="s">
        <v>39</v>
      </c>
      <c r="D82" t="s">
        <v>15</v>
      </c>
      <c r="E82" t="s">
        <v>22</v>
      </c>
      <c r="F82" s="1">
        <v>43308</v>
      </c>
      <c r="G82">
        <v>66004</v>
      </c>
      <c r="H82">
        <v>4</v>
      </c>
      <c r="I82">
        <v>79.95</v>
      </c>
      <c r="J82">
        <v>24</v>
      </c>
      <c r="K82" t="s">
        <v>33</v>
      </c>
      <c r="L82" t="s">
        <v>28</v>
      </c>
      <c r="M82" s="1">
        <f>Table1[[#This Row],[Hire_Date]]</f>
        <v>43308</v>
      </c>
      <c r="N82">
        <f>MONTH(Table1[[#This Row],[Hire_Date]])</f>
        <v>7</v>
      </c>
      <c r="O82" t="str">
        <f>TEXT(Table1[[#This Row],[Hire_Date]],"mmmm")</f>
        <v>July</v>
      </c>
      <c r="P82" t="str">
        <f>IF(Table1[[#This Row],[Salary]]&lt;40000,"Low",IF(Table1[[#This Row],[Salary]]&lt;70000,"Medium",IF(Table1[[#This Row],[Salary]]&gt;70000,"High")))</f>
        <v>Medium</v>
      </c>
    </row>
    <row r="83" spans="1:16" x14ac:dyDescent="0.35">
      <c r="A83" t="s">
        <v>187</v>
      </c>
      <c r="B83" t="s">
        <v>188</v>
      </c>
      <c r="C83" t="s">
        <v>14</v>
      </c>
      <c r="D83" t="s">
        <v>44</v>
      </c>
      <c r="E83" t="s">
        <v>22</v>
      </c>
      <c r="F83" s="1">
        <v>45320</v>
      </c>
      <c r="G83">
        <v>55412</v>
      </c>
      <c r="H83">
        <v>3</v>
      </c>
      <c r="I83">
        <v>81.31</v>
      </c>
      <c r="J83">
        <v>36</v>
      </c>
      <c r="K83" t="s">
        <v>17</v>
      </c>
      <c r="L83" t="s">
        <v>18</v>
      </c>
      <c r="M83" s="1">
        <f>Table1[[#This Row],[Hire_Date]]</f>
        <v>45320</v>
      </c>
      <c r="N83">
        <f>MONTH(Table1[[#This Row],[Hire_Date]])</f>
        <v>1</v>
      </c>
      <c r="O83" t="str">
        <f>TEXT(Table1[[#This Row],[Hire_Date]],"mmmm")</f>
        <v>January</v>
      </c>
      <c r="P83" t="str">
        <f>IF(Table1[[#This Row],[Salary]]&lt;40000,"Low",IF(Table1[[#This Row],[Salary]]&lt;70000,"Medium",IF(Table1[[#This Row],[Salary]]&gt;70000,"High")))</f>
        <v>Medium</v>
      </c>
    </row>
    <row r="84" spans="1:16" x14ac:dyDescent="0.35">
      <c r="A84" t="s">
        <v>189</v>
      </c>
      <c r="B84" t="s">
        <v>190</v>
      </c>
      <c r="C84" t="s">
        <v>39</v>
      </c>
      <c r="D84" t="s">
        <v>31</v>
      </c>
      <c r="E84" t="s">
        <v>16</v>
      </c>
      <c r="F84" s="1">
        <v>44253</v>
      </c>
      <c r="G84">
        <v>46790</v>
      </c>
      <c r="H84">
        <v>2</v>
      </c>
      <c r="I84">
        <v>94.83</v>
      </c>
      <c r="J84">
        <v>5</v>
      </c>
      <c r="K84" t="s">
        <v>17</v>
      </c>
      <c r="L84" t="s">
        <v>34</v>
      </c>
      <c r="M84" s="1">
        <f>Table1[[#This Row],[Hire_Date]]</f>
        <v>44253</v>
      </c>
      <c r="N84">
        <f>MONTH(Table1[[#This Row],[Hire_Date]])</f>
        <v>2</v>
      </c>
      <c r="O84" t="str">
        <f>TEXT(Table1[[#This Row],[Hire_Date]],"mmmm")</f>
        <v>February</v>
      </c>
      <c r="P84" t="str">
        <f>IF(Table1[[#This Row],[Salary]]&lt;40000,"Low",IF(Table1[[#This Row],[Salary]]&lt;70000,"Medium",IF(Table1[[#This Row],[Salary]]&gt;70000,"High")))</f>
        <v>Medium</v>
      </c>
    </row>
    <row r="85" spans="1:16" x14ac:dyDescent="0.35">
      <c r="A85" t="s">
        <v>191</v>
      </c>
      <c r="B85" t="s">
        <v>192</v>
      </c>
      <c r="C85" t="s">
        <v>39</v>
      </c>
      <c r="D85" t="s">
        <v>15</v>
      </c>
      <c r="E85" t="s">
        <v>16</v>
      </c>
      <c r="F85" s="1">
        <v>45345</v>
      </c>
      <c r="G85">
        <v>92216</v>
      </c>
      <c r="H85">
        <v>1</v>
      </c>
      <c r="I85">
        <v>90.59</v>
      </c>
      <c r="J85">
        <v>30</v>
      </c>
      <c r="K85" t="s">
        <v>33</v>
      </c>
      <c r="L85" t="s">
        <v>34</v>
      </c>
      <c r="M85" s="1">
        <f>Table1[[#This Row],[Hire_Date]]</f>
        <v>45345</v>
      </c>
      <c r="N85">
        <f>MONTH(Table1[[#This Row],[Hire_Date]])</f>
        <v>2</v>
      </c>
      <c r="O85" t="str">
        <f>TEXT(Table1[[#This Row],[Hire_Date]],"mmmm")</f>
        <v>February</v>
      </c>
      <c r="P85" t="str">
        <f>IF(Table1[[#This Row],[Salary]]&lt;40000,"Low",IF(Table1[[#This Row],[Salary]]&lt;70000,"Medium",IF(Table1[[#This Row],[Salary]]&gt;70000,"High")))</f>
        <v>High</v>
      </c>
    </row>
    <row r="86" spans="1:16" x14ac:dyDescent="0.35">
      <c r="A86" t="s">
        <v>193</v>
      </c>
      <c r="B86" t="s">
        <v>194</v>
      </c>
      <c r="C86" t="s">
        <v>14</v>
      </c>
      <c r="D86" t="s">
        <v>21</v>
      </c>
      <c r="E86" t="s">
        <v>22</v>
      </c>
      <c r="F86" s="1">
        <v>44412</v>
      </c>
      <c r="G86">
        <v>60717</v>
      </c>
      <c r="H86">
        <v>1</v>
      </c>
      <c r="I86">
        <v>93.95</v>
      </c>
      <c r="J86">
        <v>13</v>
      </c>
      <c r="K86" t="s">
        <v>17</v>
      </c>
      <c r="L86" t="s">
        <v>18</v>
      </c>
      <c r="M86" s="1">
        <f>Table1[[#This Row],[Hire_Date]]</f>
        <v>44412</v>
      </c>
      <c r="N86">
        <f>MONTH(Table1[[#This Row],[Hire_Date]])</f>
        <v>8</v>
      </c>
      <c r="O86" t="str">
        <f>TEXT(Table1[[#This Row],[Hire_Date]],"mmmm")</f>
        <v>August</v>
      </c>
      <c r="P86" t="str">
        <f>IF(Table1[[#This Row],[Salary]]&lt;40000,"Low",IF(Table1[[#This Row],[Salary]]&lt;70000,"Medium",IF(Table1[[#This Row],[Salary]]&gt;70000,"High")))</f>
        <v>Medium</v>
      </c>
    </row>
    <row r="87" spans="1:16" x14ac:dyDescent="0.35">
      <c r="A87" t="s">
        <v>195</v>
      </c>
      <c r="B87" t="s">
        <v>196</v>
      </c>
      <c r="C87" t="s">
        <v>39</v>
      </c>
      <c r="D87" t="s">
        <v>26</v>
      </c>
      <c r="E87" t="s">
        <v>32</v>
      </c>
      <c r="F87" s="1">
        <v>44289</v>
      </c>
      <c r="G87">
        <v>110001</v>
      </c>
      <c r="H87">
        <v>2</v>
      </c>
      <c r="I87">
        <v>91.68</v>
      </c>
      <c r="J87">
        <v>29</v>
      </c>
      <c r="K87" t="s">
        <v>33</v>
      </c>
      <c r="L87" t="s">
        <v>23</v>
      </c>
      <c r="M87" s="1">
        <f>Table1[[#This Row],[Hire_Date]]</f>
        <v>44289</v>
      </c>
      <c r="N87">
        <f>MONTH(Table1[[#This Row],[Hire_Date]])</f>
        <v>4</v>
      </c>
      <c r="O87" t="str">
        <f>TEXT(Table1[[#This Row],[Hire_Date]],"mmmm")</f>
        <v>April</v>
      </c>
      <c r="P87" t="str">
        <f>IF(Table1[[#This Row],[Salary]]&lt;40000,"Low",IF(Table1[[#This Row],[Salary]]&lt;70000,"Medium",IF(Table1[[#This Row],[Salary]]&gt;70000,"High")))</f>
        <v>High</v>
      </c>
    </row>
    <row r="88" spans="1:16" x14ac:dyDescent="0.35">
      <c r="A88" t="s">
        <v>197</v>
      </c>
      <c r="B88" t="s">
        <v>198</v>
      </c>
      <c r="C88" t="s">
        <v>14</v>
      </c>
      <c r="D88" t="s">
        <v>15</v>
      </c>
      <c r="E88" t="s">
        <v>32</v>
      </c>
      <c r="F88" s="1">
        <v>43179</v>
      </c>
      <c r="G88">
        <v>111868</v>
      </c>
      <c r="H88">
        <v>2</v>
      </c>
      <c r="I88">
        <v>86.67</v>
      </c>
      <c r="J88">
        <v>7</v>
      </c>
      <c r="K88" t="s">
        <v>33</v>
      </c>
      <c r="L88" t="s">
        <v>28</v>
      </c>
      <c r="M88" s="1">
        <f>Table1[[#This Row],[Hire_Date]]</f>
        <v>43179</v>
      </c>
      <c r="N88">
        <f>MONTH(Table1[[#This Row],[Hire_Date]])</f>
        <v>3</v>
      </c>
      <c r="O88" t="str">
        <f>TEXT(Table1[[#This Row],[Hire_Date]],"mmmm")</f>
        <v>March</v>
      </c>
      <c r="P88" t="str">
        <f>IF(Table1[[#This Row],[Salary]]&lt;40000,"Low",IF(Table1[[#This Row],[Salary]]&lt;70000,"Medium",IF(Table1[[#This Row],[Salary]]&gt;70000,"High")))</f>
        <v>High</v>
      </c>
    </row>
    <row r="89" spans="1:16" x14ac:dyDescent="0.35">
      <c r="A89" t="s">
        <v>199</v>
      </c>
      <c r="B89" t="s">
        <v>200</v>
      </c>
      <c r="C89" t="s">
        <v>39</v>
      </c>
      <c r="D89" t="s">
        <v>31</v>
      </c>
      <c r="E89" t="s">
        <v>22</v>
      </c>
      <c r="F89" s="1">
        <v>45155</v>
      </c>
      <c r="G89">
        <v>39904</v>
      </c>
      <c r="H89">
        <v>1</v>
      </c>
      <c r="I89">
        <v>90.43</v>
      </c>
      <c r="J89">
        <v>16</v>
      </c>
      <c r="K89" t="s">
        <v>33</v>
      </c>
      <c r="L89" t="s">
        <v>28</v>
      </c>
      <c r="M89" s="1">
        <f>Table1[[#This Row],[Hire_Date]]</f>
        <v>45155</v>
      </c>
      <c r="N89">
        <f>MONTH(Table1[[#This Row],[Hire_Date]])</f>
        <v>8</v>
      </c>
      <c r="O89" t="str">
        <f>TEXT(Table1[[#This Row],[Hire_Date]],"mmmm")</f>
        <v>August</v>
      </c>
      <c r="P89" t="str">
        <f>IF(Table1[[#This Row],[Salary]]&lt;40000,"Low",IF(Table1[[#This Row],[Salary]]&lt;70000,"Medium",IF(Table1[[#This Row],[Salary]]&gt;70000,"High")))</f>
        <v>Low</v>
      </c>
    </row>
    <row r="90" spans="1:16" x14ac:dyDescent="0.35">
      <c r="A90" t="s">
        <v>201</v>
      </c>
      <c r="B90" t="s">
        <v>202</v>
      </c>
      <c r="C90" t="s">
        <v>14</v>
      </c>
      <c r="D90" t="s">
        <v>26</v>
      </c>
      <c r="E90" t="s">
        <v>22</v>
      </c>
      <c r="F90" s="1">
        <v>43585</v>
      </c>
      <c r="G90">
        <v>32931</v>
      </c>
      <c r="H90">
        <v>1</v>
      </c>
      <c r="I90">
        <v>77.95</v>
      </c>
      <c r="J90">
        <v>10</v>
      </c>
      <c r="K90" t="s">
        <v>17</v>
      </c>
      <c r="L90" t="s">
        <v>18</v>
      </c>
      <c r="M90" s="1">
        <f>Table1[[#This Row],[Hire_Date]]</f>
        <v>43585</v>
      </c>
      <c r="N90">
        <f>MONTH(Table1[[#This Row],[Hire_Date]])</f>
        <v>4</v>
      </c>
      <c r="O90" t="str">
        <f>TEXT(Table1[[#This Row],[Hire_Date]],"mmmm")</f>
        <v>April</v>
      </c>
      <c r="P90" t="str">
        <f>IF(Table1[[#This Row],[Salary]]&lt;40000,"Low",IF(Table1[[#This Row],[Salary]]&lt;70000,"Medium",IF(Table1[[#This Row],[Salary]]&gt;70000,"High")))</f>
        <v>Low</v>
      </c>
    </row>
    <row r="91" spans="1:16" x14ac:dyDescent="0.35">
      <c r="A91" t="s">
        <v>203</v>
      </c>
      <c r="B91" t="s">
        <v>204</v>
      </c>
      <c r="C91" t="s">
        <v>14</v>
      </c>
      <c r="D91" t="s">
        <v>31</v>
      </c>
      <c r="E91" t="s">
        <v>22</v>
      </c>
      <c r="F91" s="1">
        <v>45456</v>
      </c>
      <c r="G91">
        <v>108431</v>
      </c>
      <c r="H91">
        <v>5</v>
      </c>
      <c r="I91">
        <v>85.54</v>
      </c>
      <c r="J91">
        <v>17</v>
      </c>
      <c r="K91" t="s">
        <v>33</v>
      </c>
      <c r="L91" t="s">
        <v>18</v>
      </c>
      <c r="M91" s="1">
        <f>Table1[[#This Row],[Hire_Date]]</f>
        <v>45456</v>
      </c>
      <c r="N91">
        <f>MONTH(Table1[[#This Row],[Hire_Date]])</f>
        <v>6</v>
      </c>
      <c r="O91" t="str">
        <f>TEXT(Table1[[#This Row],[Hire_Date]],"mmmm")</f>
        <v>June</v>
      </c>
      <c r="P91" t="str">
        <f>IF(Table1[[#This Row],[Salary]]&lt;40000,"Low",IF(Table1[[#This Row],[Salary]]&lt;70000,"Medium",IF(Table1[[#This Row],[Salary]]&gt;70000,"High")))</f>
        <v>High</v>
      </c>
    </row>
    <row r="92" spans="1:16" x14ac:dyDescent="0.35">
      <c r="A92" t="s">
        <v>205</v>
      </c>
      <c r="B92" t="s">
        <v>206</v>
      </c>
      <c r="C92" t="s">
        <v>39</v>
      </c>
      <c r="D92" t="s">
        <v>26</v>
      </c>
      <c r="E92" t="s">
        <v>22</v>
      </c>
      <c r="F92" s="1">
        <v>43140</v>
      </c>
      <c r="G92">
        <v>32357</v>
      </c>
      <c r="H92">
        <v>1</v>
      </c>
      <c r="I92">
        <v>89.93</v>
      </c>
      <c r="J92">
        <v>32</v>
      </c>
      <c r="K92" t="s">
        <v>17</v>
      </c>
      <c r="L92" t="s">
        <v>34</v>
      </c>
      <c r="M92" s="1">
        <f>Table1[[#This Row],[Hire_Date]]</f>
        <v>43140</v>
      </c>
      <c r="N92">
        <f>MONTH(Table1[[#This Row],[Hire_Date]])</f>
        <v>2</v>
      </c>
      <c r="O92" t="str">
        <f>TEXT(Table1[[#This Row],[Hire_Date]],"mmmm")</f>
        <v>February</v>
      </c>
      <c r="P92" t="str">
        <f>IF(Table1[[#This Row],[Salary]]&lt;40000,"Low",IF(Table1[[#This Row],[Salary]]&lt;70000,"Medium",IF(Table1[[#This Row],[Salary]]&gt;70000,"High")))</f>
        <v>Low</v>
      </c>
    </row>
    <row r="93" spans="1:16" x14ac:dyDescent="0.35">
      <c r="A93" t="s">
        <v>207</v>
      </c>
      <c r="B93" t="s">
        <v>150</v>
      </c>
      <c r="C93" t="s">
        <v>14</v>
      </c>
      <c r="D93" t="s">
        <v>26</v>
      </c>
      <c r="E93" t="s">
        <v>32</v>
      </c>
      <c r="F93" s="1">
        <v>44964</v>
      </c>
      <c r="G93">
        <v>94894</v>
      </c>
      <c r="H93">
        <v>3</v>
      </c>
      <c r="I93">
        <v>86.12</v>
      </c>
      <c r="J93">
        <v>31</v>
      </c>
      <c r="K93" t="s">
        <v>33</v>
      </c>
      <c r="L93" t="s">
        <v>23</v>
      </c>
      <c r="M93" s="1">
        <f>Table1[[#This Row],[Hire_Date]]</f>
        <v>44964</v>
      </c>
      <c r="N93">
        <f>MONTH(Table1[[#This Row],[Hire_Date]])</f>
        <v>2</v>
      </c>
      <c r="O93" t="str">
        <f>TEXT(Table1[[#This Row],[Hire_Date]],"mmmm")</f>
        <v>February</v>
      </c>
      <c r="P93" t="str">
        <f>IF(Table1[[#This Row],[Salary]]&lt;40000,"Low",IF(Table1[[#This Row],[Salary]]&lt;70000,"Medium",IF(Table1[[#This Row],[Salary]]&gt;70000,"High")))</f>
        <v>High</v>
      </c>
    </row>
    <row r="94" spans="1:16" x14ac:dyDescent="0.35">
      <c r="A94" t="s">
        <v>208</v>
      </c>
      <c r="B94" t="s">
        <v>209</v>
      </c>
      <c r="C94" t="s">
        <v>14</v>
      </c>
      <c r="D94" t="s">
        <v>15</v>
      </c>
      <c r="E94" t="s">
        <v>22</v>
      </c>
      <c r="F94" s="1">
        <v>45124</v>
      </c>
      <c r="G94">
        <v>83087</v>
      </c>
      <c r="H94">
        <v>3</v>
      </c>
      <c r="I94">
        <v>85.06</v>
      </c>
      <c r="J94">
        <v>20</v>
      </c>
      <c r="K94" t="s">
        <v>17</v>
      </c>
      <c r="L94" t="s">
        <v>34</v>
      </c>
      <c r="M94" s="1">
        <f>Table1[[#This Row],[Hire_Date]]</f>
        <v>45124</v>
      </c>
      <c r="N94">
        <f>MONTH(Table1[[#This Row],[Hire_Date]])</f>
        <v>7</v>
      </c>
      <c r="O94" t="str">
        <f>TEXT(Table1[[#This Row],[Hire_Date]],"mmmm")</f>
        <v>July</v>
      </c>
      <c r="P94" t="str">
        <f>IF(Table1[[#This Row],[Salary]]&lt;40000,"Low",IF(Table1[[#This Row],[Salary]]&lt;70000,"Medium",IF(Table1[[#This Row],[Salary]]&gt;70000,"High")))</f>
        <v>High</v>
      </c>
    </row>
    <row r="95" spans="1:16" x14ac:dyDescent="0.35">
      <c r="A95" t="s">
        <v>210</v>
      </c>
      <c r="B95" t="s">
        <v>211</v>
      </c>
      <c r="C95" t="s">
        <v>39</v>
      </c>
      <c r="D95" t="s">
        <v>15</v>
      </c>
      <c r="E95" t="s">
        <v>16</v>
      </c>
      <c r="F95" s="1">
        <v>44603</v>
      </c>
      <c r="G95">
        <v>33157</v>
      </c>
      <c r="H95">
        <v>5</v>
      </c>
      <c r="I95">
        <v>89.17</v>
      </c>
      <c r="J95">
        <v>24</v>
      </c>
      <c r="K95" t="s">
        <v>17</v>
      </c>
      <c r="L95" t="s">
        <v>34</v>
      </c>
      <c r="M95" s="1">
        <f>Table1[[#This Row],[Hire_Date]]</f>
        <v>44603</v>
      </c>
      <c r="N95">
        <f>MONTH(Table1[[#This Row],[Hire_Date]])</f>
        <v>2</v>
      </c>
      <c r="O95" t="str">
        <f>TEXT(Table1[[#This Row],[Hire_Date]],"mmmm")</f>
        <v>February</v>
      </c>
      <c r="P95" t="str">
        <f>IF(Table1[[#This Row],[Salary]]&lt;40000,"Low",IF(Table1[[#This Row],[Salary]]&lt;70000,"Medium",IF(Table1[[#This Row],[Salary]]&gt;70000,"High")))</f>
        <v>Low</v>
      </c>
    </row>
    <row r="96" spans="1:16" x14ac:dyDescent="0.35">
      <c r="A96" t="s">
        <v>212</v>
      </c>
      <c r="B96" t="s">
        <v>213</v>
      </c>
      <c r="C96" t="s">
        <v>14</v>
      </c>
      <c r="D96" t="s">
        <v>44</v>
      </c>
      <c r="E96" t="s">
        <v>32</v>
      </c>
      <c r="F96" s="1">
        <v>43734</v>
      </c>
      <c r="G96">
        <v>47171</v>
      </c>
      <c r="H96">
        <v>2</v>
      </c>
      <c r="I96">
        <v>82.96</v>
      </c>
      <c r="J96">
        <v>27</v>
      </c>
      <c r="K96" t="s">
        <v>17</v>
      </c>
      <c r="L96" t="s">
        <v>23</v>
      </c>
      <c r="M96" s="1">
        <f>Table1[[#This Row],[Hire_Date]]</f>
        <v>43734</v>
      </c>
      <c r="N96">
        <f>MONTH(Table1[[#This Row],[Hire_Date]])</f>
        <v>9</v>
      </c>
      <c r="O96" t="str">
        <f>TEXT(Table1[[#This Row],[Hire_Date]],"mmmm")</f>
        <v>September</v>
      </c>
      <c r="P96" t="str">
        <f>IF(Table1[[#This Row],[Salary]]&lt;40000,"Low",IF(Table1[[#This Row],[Salary]]&lt;70000,"Medium",IF(Table1[[#This Row],[Salary]]&gt;70000,"High")))</f>
        <v>Medium</v>
      </c>
    </row>
    <row r="97" spans="1:16" x14ac:dyDescent="0.35">
      <c r="A97" t="s">
        <v>214</v>
      </c>
      <c r="B97" t="s">
        <v>215</v>
      </c>
      <c r="C97" t="s">
        <v>14</v>
      </c>
      <c r="D97" t="s">
        <v>26</v>
      </c>
      <c r="E97" t="s">
        <v>27</v>
      </c>
      <c r="F97" s="1">
        <v>44484</v>
      </c>
      <c r="G97">
        <v>119785</v>
      </c>
      <c r="H97">
        <v>4</v>
      </c>
      <c r="I97">
        <v>88.08</v>
      </c>
      <c r="J97">
        <v>5</v>
      </c>
      <c r="K97" t="s">
        <v>17</v>
      </c>
      <c r="L97" t="s">
        <v>34</v>
      </c>
      <c r="M97" s="1">
        <f>Table1[[#This Row],[Hire_Date]]</f>
        <v>44484</v>
      </c>
      <c r="N97">
        <f>MONTH(Table1[[#This Row],[Hire_Date]])</f>
        <v>10</v>
      </c>
      <c r="O97" t="str">
        <f>TEXT(Table1[[#This Row],[Hire_Date]],"mmmm")</f>
        <v>October</v>
      </c>
      <c r="P97" t="str">
        <f>IF(Table1[[#This Row],[Salary]]&lt;40000,"Low",IF(Table1[[#This Row],[Salary]]&lt;70000,"Medium",IF(Table1[[#This Row],[Salary]]&gt;70000,"High")))</f>
        <v>High</v>
      </c>
    </row>
    <row r="98" spans="1:16" x14ac:dyDescent="0.35">
      <c r="A98" t="s">
        <v>216</v>
      </c>
      <c r="B98" t="s">
        <v>217</v>
      </c>
      <c r="C98" t="s">
        <v>39</v>
      </c>
      <c r="D98" t="s">
        <v>21</v>
      </c>
      <c r="E98" t="s">
        <v>32</v>
      </c>
      <c r="F98" s="1">
        <v>44875</v>
      </c>
      <c r="G98">
        <v>58285</v>
      </c>
      <c r="H98">
        <v>5</v>
      </c>
      <c r="I98">
        <v>99.28</v>
      </c>
      <c r="J98">
        <v>22</v>
      </c>
      <c r="K98" t="s">
        <v>17</v>
      </c>
      <c r="L98" t="s">
        <v>23</v>
      </c>
      <c r="M98" s="1">
        <f>Table1[[#This Row],[Hire_Date]]</f>
        <v>44875</v>
      </c>
      <c r="N98">
        <f>MONTH(Table1[[#This Row],[Hire_Date]])</f>
        <v>11</v>
      </c>
      <c r="O98" t="str">
        <f>TEXT(Table1[[#This Row],[Hire_Date]],"mmmm")</f>
        <v>November</v>
      </c>
      <c r="P98" t="str">
        <f>IF(Table1[[#This Row],[Salary]]&lt;40000,"Low",IF(Table1[[#This Row],[Salary]]&lt;70000,"Medium",IF(Table1[[#This Row],[Salary]]&gt;70000,"High")))</f>
        <v>Medium</v>
      </c>
    </row>
    <row r="99" spans="1:16" x14ac:dyDescent="0.35">
      <c r="A99" t="s">
        <v>218</v>
      </c>
      <c r="B99" t="s">
        <v>219</v>
      </c>
      <c r="C99" t="s">
        <v>39</v>
      </c>
      <c r="D99" t="s">
        <v>15</v>
      </c>
      <c r="E99" t="s">
        <v>16</v>
      </c>
      <c r="F99" s="1">
        <v>44206</v>
      </c>
      <c r="G99">
        <v>58367</v>
      </c>
      <c r="H99">
        <v>1</v>
      </c>
      <c r="I99">
        <v>84.16</v>
      </c>
      <c r="J99">
        <v>3</v>
      </c>
      <c r="K99" t="s">
        <v>17</v>
      </c>
      <c r="L99" t="s">
        <v>28</v>
      </c>
      <c r="M99" s="1">
        <f>Table1[[#This Row],[Hire_Date]]</f>
        <v>44206</v>
      </c>
      <c r="N99">
        <f>MONTH(Table1[[#This Row],[Hire_Date]])</f>
        <v>1</v>
      </c>
      <c r="O99" t="str">
        <f>TEXT(Table1[[#This Row],[Hire_Date]],"mmmm")</f>
        <v>January</v>
      </c>
      <c r="P99" t="str">
        <f>IF(Table1[[#This Row],[Salary]]&lt;40000,"Low",IF(Table1[[#This Row],[Salary]]&lt;70000,"Medium",IF(Table1[[#This Row],[Salary]]&gt;70000,"High")))</f>
        <v>Medium</v>
      </c>
    </row>
    <row r="100" spans="1:16" x14ac:dyDescent="0.35">
      <c r="A100" t="s">
        <v>220</v>
      </c>
      <c r="B100" t="s">
        <v>221</v>
      </c>
      <c r="C100" t="s">
        <v>39</v>
      </c>
      <c r="D100" t="s">
        <v>44</v>
      </c>
      <c r="E100" t="s">
        <v>16</v>
      </c>
      <c r="F100" s="1">
        <v>43399</v>
      </c>
      <c r="G100">
        <v>102935</v>
      </c>
      <c r="H100">
        <v>2</v>
      </c>
      <c r="I100">
        <v>86.38</v>
      </c>
      <c r="J100">
        <v>39</v>
      </c>
      <c r="K100" t="s">
        <v>33</v>
      </c>
      <c r="L100" t="s">
        <v>34</v>
      </c>
      <c r="M100" s="1">
        <f>Table1[[#This Row],[Hire_Date]]</f>
        <v>43399</v>
      </c>
      <c r="N100">
        <f>MONTH(Table1[[#This Row],[Hire_Date]])</f>
        <v>10</v>
      </c>
      <c r="O100" t="str">
        <f>TEXT(Table1[[#This Row],[Hire_Date]],"mmmm")</f>
        <v>October</v>
      </c>
      <c r="P100" t="str">
        <f>IF(Table1[[#This Row],[Salary]]&lt;40000,"Low",IF(Table1[[#This Row],[Salary]]&lt;70000,"Medium",IF(Table1[[#This Row],[Salary]]&gt;70000,"High")))</f>
        <v>High</v>
      </c>
    </row>
    <row r="101" spans="1:16" x14ac:dyDescent="0.35">
      <c r="A101" t="s">
        <v>222</v>
      </c>
      <c r="B101" t="s">
        <v>223</v>
      </c>
      <c r="C101" t="s">
        <v>14</v>
      </c>
      <c r="D101" t="s">
        <v>31</v>
      </c>
      <c r="E101" t="s">
        <v>16</v>
      </c>
      <c r="F101" s="1">
        <v>44391</v>
      </c>
      <c r="G101">
        <v>62622</v>
      </c>
      <c r="H101">
        <v>3</v>
      </c>
      <c r="I101">
        <v>96.92</v>
      </c>
      <c r="J101">
        <v>15</v>
      </c>
      <c r="K101" t="s">
        <v>17</v>
      </c>
      <c r="L101" t="s">
        <v>18</v>
      </c>
      <c r="M101" s="1">
        <f>Table1[[#This Row],[Hire_Date]]</f>
        <v>44391</v>
      </c>
      <c r="N101">
        <f>MONTH(Table1[[#This Row],[Hire_Date]])</f>
        <v>7</v>
      </c>
      <c r="O101" t="str">
        <f>TEXT(Table1[[#This Row],[Hire_Date]],"mmmm")</f>
        <v>July</v>
      </c>
      <c r="P101" t="str">
        <f>IF(Table1[[#This Row],[Salary]]&lt;40000,"Low",IF(Table1[[#This Row],[Salary]]&lt;70000,"Medium",IF(Table1[[#This Row],[Salary]]&gt;70000,"High")))</f>
        <v>Medium</v>
      </c>
    </row>
    <row r="102" spans="1:16" x14ac:dyDescent="0.35">
      <c r="A102" t="s">
        <v>224</v>
      </c>
      <c r="B102" t="s">
        <v>225</v>
      </c>
      <c r="C102" t="s">
        <v>39</v>
      </c>
      <c r="D102" t="s">
        <v>26</v>
      </c>
      <c r="E102" t="s">
        <v>16</v>
      </c>
      <c r="F102" s="1">
        <v>43988</v>
      </c>
      <c r="G102">
        <v>115146</v>
      </c>
      <c r="H102">
        <v>4</v>
      </c>
      <c r="I102">
        <v>93.29</v>
      </c>
      <c r="J102">
        <v>29</v>
      </c>
      <c r="K102" t="s">
        <v>17</v>
      </c>
      <c r="L102" t="s">
        <v>34</v>
      </c>
      <c r="M102" s="1">
        <f>Table1[[#This Row],[Hire_Date]]</f>
        <v>43988</v>
      </c>
      <c r="N102">
        <f>MONTH(Table1[[#This Row],[Hire_Date]])</f>
        <v>6</v>
      </c>
      <c r="O102" t="str">
        <f>TEXT(Table1[[#This Row],[Hire_Date]],"mmmm")</f>
        <v>June</v>
      </c>
      <c r="P102" t="str">
        <f>IF(Table1[[#This Row],[Salary]]&lt;40000,"Low",IF(Table1[[#This Row],[Salary]]&lt;70000,"Medium",IF(Table1[[#This Row],[Salary]]&gt;70000,"High")))</f>
        <v>High</v>
      </c>
    </row>
    <row r="103" spans="1:16" x14ac:dyDescent="0.35">
      <c r="A103" t="s">
        <v>226</v>
      </c>
      <c r="B103" t="s">
        <v>227</v>
      </c>
      <c r="C103" t="s">
        <v>39</v>
      </c>
      <c r="D103" t="s">
        <v>44</v>
      </c>
      <c r="E103" t="s">
        <v>32</v>
      </c>
      <c r="F103" s="1">
        <v>44711</v>
      </c>
      <c r="G103">
        <v>60553</v>
      </c>
      <c r="H103">
        <v>3</v>
      </c>
      <c r="I103">
        <v>85.22</v>
      </c>
      <c r="J103">
        <v>6</v>
      </c>
      <c r="K103" t="s">
        <v>17</v>
      </c>
      <c r="L103" t="s">
        <v>23</v>
      </c>
      <c r="M103" s="1">
        <f>Table1[[#This Row],[Hire_Date]]</f>
        <v>44711</v>
      </c>
      <c r="N103">
        <f>MONTH(Table1[[#This Row],[Hire_Date]])</f>
        <v>5</v>
      </c>
      <c r="O103" t="str">
        <f>TEXT(Table1[[#This Row],[Hire_Date]],"mmmm")</f>
        <v>May</v>
      </c>
      <c r="P103" t="str">
        <f>IF(Table1[[#This Row],[Salary]]&lt;40000,"Low",IF(Table1[[#This Row],[Salary]]&lt;70000,"Medium",IF(Table1[[#This Row],[Salary]]&gt;70000,"High")))</f>
        <v>Medium</v>
      </c>
    </row>
    <row r="104" spans="1:16" x14ac:dyDescent="0.35">
      <c r="A104" t="s">
        <v>228</v>
      </c>
      <c r="B104" t="s">
        <v>229</v>
      </c>
      <c r="C104" t="s">
        <v>14</v>
      </c>
      <c r="D104" t="s">
        <v>15</v>
      </c>
      <c r="E104" t="s">
        <v>27</v>
      </c>
      <c r="F104" s="1">
        <v>43237</v>
      </c>
      <c r="G104">
        <v>112340</v>
      </c>
      <c r="H104">
        <v>3</v>
      </c>
      <c r="I104">
        <v>75.459999999999994</v>
      </c>
      <c r="J104">
        <v>3</v>
      </c>
      <c r="K104" t="s">
        <v>17</v>
      </c>
      <c r="L104" t="s">
        <v>18</v>
      </c>
      <c r="M104" s="1">
        <f>Table1[[#This Row],[Hire_Date]]</f>
        <v>43237</v>
      </c>
      <c r="N104">
        <f>MONTH(Table1[[#This Row],[Hire_Date]])</f>
        <v>5</v>
      </c>
      <c r="O104" t="str">
        <f>TEXT(Table1[[#This Row],[Hire_Date]],"mmmm")</f>
        <v>May</v>
      </c>
      <c r="P104" t="str">
        <f>IF(Table1[[#This Row],[Salary]]&lt;40000,"Low",IF(Table1[[#This Row],[Salary]]&lt;70000,"Medium",IF(Table1[[#This Row],[Salary]]&gt;70000,"High")))</f>
        <v>High</v>
      </c>
    </row>
    <row r="105" spans="1:16" x14ac:dyDescent="0.35">
      <c r="A105" t="s">
        <v>230</v>
      </c>
      <c r="B105" t="s">
        <v>231</v>
      </c>
      <c r="C105" t="s">
        <v>39</v>
      </c>
      <c r="D105" t="s">
        <v>15</v>
      </c>
      <c r="E105" t="s">
        <v>32</v>
      </c>
      <c r="F105" s="1">
        <v>43543</v>
      </c>
      <c r="G105">
        <v>99281</v>
      </c>
      <c r="H105">
        <v>2</v>
      </c>
      <c r="I105">
        <v>96.45</v>
      </c>
      <c r="J105">
        <v>15</v>
      </c>
      <c r="K105" t="s">
        <v>17</v>
      </c>
      <c r="L105" t="s">
        <v>23</v>
      </c>
      <c r="M105" s="1">
        <f>Table1[[#This Row],[Hire_Date]]</f>
        <v>43543</v>
      </c>
      <c r="N105">
        <f>MONTH(Table1[[#This Row],[Hire_Date]])</f>
        <v>3</v>
      </c>
      <c r="O105" t="str">
        <f>TEXT(Table1[[#This Row],[Hire_Date]],"mmmm")</f>
        <v>March</v>
      </c>
      <c r="P105" t="str">
        <f>IF(Table1[[#This Row],[Salary]]&lt;40000,"Low",IF(Table1[[#This Row],[Salary]]&lt;70000,"Medium",IF(Table1[[#This Row],[Salary]]&gt;70000,"High")))</f>
        <v>High</v>
      </c>
    </row>
    <row r="106" spans="1:16" x14ac:dyDescent="0.35">
      <c r="A106" t="s">
        <v>232</v>
      </c>
      <c r="B106" t="s">
        <v>233</v>
      </c>
      <c r="C106" t="s">
        <v>39</v>
      </c>
      <c r="D106" t="s">
        <v>44</v>
      </c>
      <c r="E106" t="s">
        <v>16</v>
      </c>
      <c r="F106" s="1">
        <v>45256</v>
      </c>
      <c r="G106">
        <v>64162</v>
      </c>
      <c r="H106">
        <v>2</v>
      </c>
      <c r="I106">
        <v>92.99</v>
      </c>
      <c r="J106">
        <v>9</v>
      </c>
      <c r="K106" t="s">
        <v>17</v>
      </c>
      <c r="L106" t="s">
        <v>28</v>
      </c>
      <c r="M106" s="1">
        <f>Table1[[#This Row],[Hire_Date]]</f>
        <v>45256</v>
      </c>
      <c r="N106">
        <f>MONTH(Table1[[#This Row],[Hire_Date]])</f>
        <v>11</v>
      </c>
      <c r="O106" t="str">
        <f>TEXT(Table1[[#This Row],[Hire_Date]],"mmmm")</f>
        <v>November</v>
      </c>
      <c r="P106" t="str">
        <f>IF(Table1[[#This Row],[Salary]]&lt;40000,"Low",IF(Table1[[#This Row],[Salary]]&lt;70000,"Medium",IF(Table1[[#This Row],[Salary]]&gt;70000,"High")))</f>
        <v>Medium</v>
      </c>
    </row>
    <row r="107" spans="1:16" x14ac:dyDescent="0.35">
      <c r="A107" t="s">
        <v>234</v>
      </c>
      <c r="B107" t="s">
        <v>235</v>
      </c>
      <c r="C107" t="s">
        <v>14</v>
      </c>
      <c r="D107" t="s">
        <v>31</v>
      </c>
      <c r="E107" t="s">
        <v>22</v>
      </c>
      <c r="F107" s="1">
        <v>43852</v>
      </c>
      <c r="G107">
        <v>32152</v>
      </c>
      <c r="H107">
        <v>1</v>
      </c>
      <c r="I107">
        <v>76.19</v>
      </c>
      <c r="J107">
        <v>28</v>
      </c>
      <c r="K107" t="s">
        <v>17</v>
      </c>
      <c r="L107" t="s">
        <v>18</v>
      </c>
      <c r="M107" s="1">
        <f>Table1[[#This Row],[Hire_Date]]</f>
        <v>43852</v>
      </c>
      <c r="N107">
        <f>MONTH(Table1[[#This Row],[Hire_Date]])</f>
        <v>1</v>
      </c>
      <c r="O107" t="str">
        <f>TEXT(Table1[[#This Row],[Hire_Date]],"mmmm")</f>
        <v>January</v>
      </c>
      <c r="P107" t="str">
        <f>IF(Table1[[#This Row],[Salary]]&lt;40000,"Low",IF(Table1[[#This Row],[Salary]]&lt;70000,"Medium",IF(Table1[[#This Row],[Salary]]&gt;70000,"High")))</f>
        <v>Low</v>
      </c>
    </row>
    <row r="108" spans="1:16" x14ac:dyDescent="0.35">
      <c r="A108" t="s">
        <v>236</v>
      </c>
      <c r="B108" t="s">
        <v>237</v>
      </c>
      <c r="C108" t="s">
        <v>39</v>
      </c>
      <c r="D108" t="s">
        <v>31</v>
      </c>
      <c r="E108" t="s">
        <v>32</v>
      </c>
      <c r="F108" s="1">
        <v>43654</v>
      </c>
      <c r="G108">
        <v>71687</v>
      </c>
      <c r="H108">
        <v>1</v>
      </c>
      <c r="I108">
        <v>87.27</v>
      </c>
      <c r="J108">
        <v>12</v>
      </c>
      <c r="K108" t="s">
        <v>17</v>
      </c>
      <c r="L108" t="s">
        <v>34</v>
      </c>
      <c r="M108" s="1">
        <f>Table1[[#This Row],[Hire_Date]]</f>
        <v>43654</v>
      </c>
      <c r="N108">
        <f>MONTH(Table1[[#This Row],[Hire_Date]])</f>
        <v>7</v>
      </c>
      <c r="O108" t="str">
        <f>TEXT(Table1[[#This Row],[Hire_Date]],"mmmm")</f>
        <v>July</v>
      </c>
      <c r="P108" t="str">
        <f>IF(Table1[[#This Row],[Salary]]&lt;40000,"Low",IF(Table1[[#This Row],[Salary]]&lt;70000,"Medium",IF(Table1[[#This Row],[Salary]]&gt;70000,"High")))</f>
        <v>High</v>
      </c>
    </row>
    <row r="109" spans="1:16" x14ac:dyDescent="0.35">
      <c r="A109" t="s">
        <v>238</v>
      </c>
      <c r="B109" t="s">
        <v>239</v>
      </c>
      <c r="C109" t="s">
        <v>39</v>
      </c>
      <c r="D109" t="s">
        <v>31</v>
      </c>
      <c r="E109" t="s">
        <v>27</v>
      </c>
      <c r="F109" s="1">
        <v>45170</v>
      </c>
      <c r="G109">
        <v>44572</v>
      </c>
      <c r="H109">
        <v>1</v>
      </c>
      <c r="I109">
        <v>89.81</v>
      </c>
      <c r="J109">
        <v>37</v>
      </c>
      <c r="K109" t="s">
        <v>33</v>
      </c>
      <c r="L109" t="s">
        <v>18</v>
      </c>
      <c r="M109" s="1">
        <f>Table1[[#This Row],[Hire_Date]]</f>
        <v>45170</v>
      </c>
      <c r="N109">
        <f>MONTH(Table1[[#This Row],[Hire_Date]])</f>
        <v>9</v>
      </c>
      <c r="O109" t="str">
        <f>TEXT(Table1[[#This Row],[Hire_Date]],"mmmm")</f>
        <v>September</v>
      </c>
      <c r="P109" t="str">
        <f>IF(Table1[[#This Row],[Salary]]&lt;40000,"Low",IF(Table1[[#This Row],[Salary]]&lt;70000,"Medium",IF(Table1[[#This Row],[Salary]]&gt;70000,"High")))</f>
        <v>Medium</v>
      </c>
    </row>
    <row r="110" spans="1:16" x14ac:dyDescent="0.35">
      <c r="A110" t="s">
        <v>240</v>
      </c>
      <c r="B110" t="s">
        <v>241</v>
      </c>
      <c r="C110" t="s">
        <v>14</v>
      </c>
      <c r="D110" t="s">
        <v>44</v>
      </c>
      <c r="E110" t="s">
        <v>32</v>
      </c>
      <c r="F110" s="1">
        <v>44577</v>
      </c>
      <c r="G110">
        <v>78110</v>
      </c>
      <c r="H110">
        <v>1</v>
      </c>
      <c r="I110">
        <v>82.83</v>
      </c>
      <c r="J110">
        <v>24</v>
      </c>
      <c r="K110" t="s">
        <v>33</v>
      </c>
      <c r="L110" t="s">
        <v>28</v>
      </c>
      <c r="M110" s="1">
        <f>Table1[[#This Row],[Hire_Date]]</f>
        <v>44577</v>
      </c>
      <c r="N110">
        <f>MONTH(Table1[[#This Row],[Hire_Date]])</f>
        <v>1</v>
      </c>
      <c r="O110" t="str">
        <f>TEXT(Table1[[#This Row],[Hire_Date]],"mmmm")</f>
        <v>January</v>
      </c>
      <c r="P110" t="str">
        <f>IF(Table1[[#This Row],[Salary]]&lt;40000,"Low",IF(Table1[[#This Row],[Salary]]&lt;70000,"Medium",IF(Table1[[#This Row],[Salary]]&gt;70000,"High")))</f>
        <v>High</v>
      </c>
    </row>
    <row r="111" spans="1:16" x14ac:dyDescent="0.35">
      <c r="A111" t="s">
        <v>242</v>
      </c>
      <c r="B111" t="s">
        <v>202</v>
      </c>
      <c r="C111" t="s">
        <v>14</v>
      </c>
      <c r="D111" t="s">
        <v>31</v>
      </c>
      <c r="E111" t="s">
        <v>27</v>
      </c>
      <c r="F111" s="1">
        <v>45006</v>
      </c>
      <c r="G111">
        <v>45292</v>
      </c>
      <c r="H111">
        <v>4</v>
      </c>
      <c r="I111">
        <v>94.53</v>
      </c>
      <c r="J111">
        <v>3</v>
      </c>
      <c r="K111" t="s">
        <v>17</v>
      </c>
      <c r="L111" t="s">
        <v>34</v>
      </c>
      <c r="M111" s="1">
        <f>Table1[[#This Row],[Hire_Date]]</f>
        <v>45006</v>
      </c>
      <c r="N111">
        <f>MONTH(Table1[[#This Row],[Hire_Date]])</f>
        <v>3</v>
      </c>
      <c r="O111" t="str">
        <f>TEXT(Table1[[#This Row],[Hire_Date]],"mmmm")</f>
        <v>March</v>
      </c>
      <c r="P111" t="str">
        <f>IF(Table1[[#This Row],[Salary]]&lt;40000,"Low",IF(Table1[[#This Row],[Salary]]&lt;70000,"Medium",IF(Table1[[#This Row],[Salary]]&gt;70000,"High")))</f>
        <v>Medium</v>
      </c>
    </row>
    <row r="112" spans="1:16" x14ac:dyDescent="0.35">
      <c r="A112" t="s">
        <v>243</v>
      </c>
      <c r="B112" t="s">
        <v>244</v>
      </c>
      <c r="C112" t="s">
        <v>39</v>
      </c>
      <c r="D112" t="s">
        <v>21</v>
      </c>
      <c r="E112" t="s">
        <v>22</v>
      </c>
      <c r="F112" s="1">
        <v>43716</v>
      </c>
      <c r="G112">
        <v>44003</v>
      </c>
      <c r="H112">
        <v>1</v>
      </c>
      <c r="I112">
        <v>95.47</v>
      </c>
      <c r="J112">
        <v>25</v>
      </c>
      <c r="K112" t="s">
        <v>17</v>
      </c>
      <c r="L112" t="s">
        <v>34</v>
      </c>
      <c r="M112" s="1">
        <f>Table1[[#This Row],[Hire_Date]]</f>
        <v>43716</v>
      </c>
      <c r="N112">
        <f>MONTH(Table1[[#This Row],[Hire_Date]])</f>
        <v>9</v>
      </c>
      <c r="O112" t="str">
        <f>TEXT(Table1[[#This Row],[Hire_Date]],"mmmm")</f>
        <v>September</v>
      </c>
      <c r="P112" t="str">
        <f>IF(Table1[[#This Row],[Salary]]&lt;40000,"Low",IF(Table1[[#This Row],[Salary]]&lt;70000,"Medium",IF(Table1[[#This Row],[Salary]]&gt;70000,"High")))</f>
        <v>Medium</v>
      </c>
    </row>
    <row r="113" spans="1:16" x14ac:dyDescent="0.35">
      <c r="A113" t="s">
        <v>245</v>
      </c>
      <c r="B113" t="s">
        <v>246</v>
      </c>
      <c r="C113" t="s">
        <v>14</v>
      </c>
      <c r="D113" t="s">
        <v>31</v>
      </c>
      <c r="E113" t="s">
        <v>32</v>
      </c>
      <c r="F113" s="1">
        <v>45285</v>
      </c>
      <c r="G113">
        <v>54531</v>
      </c>
      <c r="H113">
        <v>3</v>
      </c>
      <c r="I113">
        <v>79.88</v>
      </c>
      <c r="J113">
        <v>3</v>
      </c>
      <c r="K113" t="s">
        <v>33</v>
      </c>
      <c r="L113" t="s">
        <v>23</v>
      </c>
      <c r="M113" s="1">
        <f>Table1[[#This Row],[Hire_Date]]</f>
        <v>45285</v>
      </c>
      <c r="N113">
        <f>MONTH(Table1[[#This Row],[Hire_Date]])</f>
        <v>12</v>
      </c>
      <c r="O113" t="str">
        <f>TEXT(Table1[[#This Row],[Hire_Date]],"mmmm")</f>
        <v>December</v>
      </c>
      <c r="P113" t="str">
        <f>IF(Table1[[#This Row],[Salary]]&lt;40000,"Low",IF(Table1[[#This Row],[Salary]]&lt;70000,"Medium",IF(Table1[[#This Row],[Salary]]&gt;70000,"High")))</f>
        <v>Medium</v>
      </c>
    </row>
    <row r="114" spans="1:16" x14ac:dyDescent="0.35">
      <c r="A114" t="s">
        <v>247</v>
      </c>
      <c r="B114" t="s">
        <v>248</v>
      </c>
      <c r="C114" t="s">
        <v>14</v>
      </c>
      <c r="D114" t="s">
        <v>44</v>
      </c>
      <c r="E114" t="s">
        <v>32</v>
      </c>
      <c r="F114" s="1">
        <v>43341</v>
      </c>
      <c r="G114">
        <v>71558</v>
      </c>
      <c r="H114">
        <v>1</v>
      </c>
      <c r="I114">
        <v>81.819999999999993</v>
      </c>
      <c r="J114">
        <v>1</v>
      </c>
      <c r="K114" t="s">
        <v>33</v>
      </c>
      <c r="L114" t="s">
        <v>18</v>
      </c>
      <c r="M114" s="1">
        <f>Table1[[#This Row],[Hire_Date]]</f>
        <v>43341</v>
      </c>
      <c r="N114">
        <f>MONTH(Table1[[#This Row],[Hire_Date]])</f>
        <v>8</v>
      </c>
      <c r="O114" t="str">
        <f>TEXT(Table1[[#This Row],[Hire_Date]],"mmmm")</f>
        <v>August</v>
      </c>
      <c r="P114" t="str">
        <f>IF(Table1[[#This Row],[Salary]]&lt;40000,"Low",IF(Table1[[#This Row],[Salary]]&lt;70000,"Medium",IF(Table1[[#This Row],[Salary]]&gt;70000,"High")))</f>
        <v>High</v>
      </c>
    </row>
    <row r="115" spans="1:16" x14ac:dyDescent="0.35">
      <c r="A115" t="s">
        <v>249</v>
      </c>
      <c r="B115" t="s">
        <v>250</v>
      </c>
      <c r="C115" t="s">
        <v>14</v>
      </c>
      <c r="D115" t="s">
        <v>31</v>
      </c>
      <c r="E115" t="s">
        <v>32</v>
      </c>
      <c r="F115" s="1">
        <v>44040</v>
      </c>
      <c r="G115">
        <v>90827</v>
      </c>
      <c r="H115">
        <v>3</v>
      </c>
      <c r="I115">
        <v>88.49</v>
      </c>
      <c r="J115">
        <v>30</v>
      </c>
      <c r="K115" t="s">
        <v>17</v>
      </c>
      <c r="L115" t="s">
        <v>18</v>
      </c>
      <c r="M115" s="1">
        <f>Table1[[#This Row],[Hire_Date]]</f>
        <v>44040</v>
      </c>
      <c r="N115">
        <f>MONTH(Table1[[#This Row],[Hire_Date]])</f>
        <v>7</v>
      </c>
      <c r="O115" t="str">
        <f>TEXT(Table1[[#This Row],[Hire_Date]],"mmmm")</f>
        <v>July</v>
      </c>
      <c r="P115" t="str">
        <f>IF(Table1[[#This Row],[Salary]]&lt;40000,"Low",IF(Table1[[#This Row],[Salary]]&lt;70000,"Medium",IF(Table1[[#This Row],[Salary]]&gt;70000,"High")))</f>
        <v>High</v>
      </c>
    </row>
    <row r="116" spans="1:16" x14ac:dyDescent="0.35">
      <c r="A116" t="s">
        <v>251</v>
      </c>
      <c r="B116" t="s">
        <v>252</v>
      </c>
      <c r="C116" t="s">
        <v>39</v>
      </c>
      <c r="D116" t="s">
        <v>15</v>
      </c>
      <c r="E116" t="s">
        <v>16</v>
      </c>
      <c r="F116" s="1">
        <v>44419</v>
      </c>
      <c r="G116">
        <v>113482</v>
      </c>
      <c r="H116">
        <v>2</v>
      </c>
      <c r="I116">
        <v>93.96</v>
      </c>
      <c r="J116">
        <v>18</v>
      </c>
      <c r="K116" t="s">
        <v>17</v>
      </c>
      <c r="L116" t="s">
        <v>18</v>
      </c>
      <c r="M116" s="1">
        <f>Table1[[#This Row],[Hire_Date]]</f>
        <v>44419</v>
      </c>
      <c r="N116">
        <f>MONTH(Table1[[#This Row],[Hire_Date]])</f>
        <v>8</v>
      </c>
      <c r="O116" t="str">
        <f>TEXT(Table1[[#This Row],[Hire_Date]],"mmmm")</f>
        <v>August</v>
      </c>
      <c r="P116" t="str">
        <f>IF(Table1[[#This Row],[Salary]]&lt;40000,"Low",IF(Table1[[#This Row],[Salary]]&lt;70000,"Medium",IF(Table1[[#This Row],[Salary]]&gt;70000,"High")))</f>
        <v>High</v>
      </c>
    </row>
    <row r="117" spans="1:16" x14ac:dyDescent="0.35">
      <c r="A117" t="s">
        <v>253</v>
      </c>
      <c r="B117" t="s">
        <v>254</v>
      </c>
      <c r="C117" t="s">
        <v>14</v>
      </c>
      <c r="D117" t="s">
        <v>31</v>
      </c>
      <c r="E117" t="s">
        <v>16</v>
      </c>
      <c r="F117" s="1">
        <v>45422</v>
      </c>
      <c r="G117">
        <v>111586</v>
      </c>
      <c r="H117">
        <v>4</v>
      </c>
      <c r="I117">
        <v>90.66</v>
      </c>
      <c r="J117">
        <v>26</v>
      </c>
      <c r="K117" t="s">
        <v>33</v>
      </c>
      <c r="L117" t="s">
        <v>34</v>
      </c>
      <c r="M117" s="1">
        <f>Table1[[#This Row],[Hire_Date]]</f>
        <v>45422</v>
      </c>
      <c r="N117">
        <f>MONTH(Table1[[#This Row],[Hire_Date]])</f>
        <v>5</v>
      </c>
      <c r="O117" t="str">
        <f>TEXT(Table1[[#This Row],[Hire_Date]],"mmmm")</f>
        <v>May</v>
      </c>
      <c r="P117" t="str">
        <f>IF(Table1[[#This Row],[Salary]]&lt;40000,"Low",IF(Table1[[#This Row],[Salary]]&lt;70000,"Medium",IF(Table1[[#This Row],[Salary]]&gt;70000,"High")))</f>
        <v>High</v>
      </c>
    </row>
    <row r="118" spans="1:16" x14ac:dyDescent="0.35">
      <c r="A118" t="s">
        <v>255</v>
      </c>
      <c r="B118" t="s">
        <v>256</v>
      </c>
      <c r="C118" t="s">
        <v>39</v>
      </c>
      <c r="D118" t="s">
        <v>31</v>
      </c>
      <c r="E118" t="s">
        <v>32</v>
      </c>
      <c r="F118" s="1">
        <v>44978</v>
      </c>
      <c r="G118">
        <v>104710</v>
      </c>
      <c r="H118">
        <v>2</v>
      </c>
      <c r="I118">
        <v>77.66</v>
      </c>
      <c r="J118">
        <v>18</v>
      </c>
      <c r="K118" t="s">
        <v>17</v>
      </c>
      <c r="L118" t="s">
        <v>18</v>
      </c>
      <c r="M118" s="1">
        <f>Table1[[#This Row],[Hire_Date]]</f>
        <v>44978</v>
      </c>
      <c r="N118">
        <f>MONTH(Table1[[#This Row],[Hire_Date]])</f>
        <v>2</v>
      </c>
      <c r="O118" t="str">
        <f>TEXT(Table1[[#This Row],[Hire_Date]],"mmmm")</f>
        <v>February</v>
      </c>
      <c r="P118" t="str">
        <f>IF(Table1[[#This Row],[Salary]]&lt;40000,"Low",IF(Table1[[#This Row],[Salary]]&lt;70000,"Medium",IF(Table1[[#This Row],[Salary]]&gt;70000,"High")))</f>
        <v>High</v>
      </c>
    </row>
    <row r="119" spans="1:16" x14ac:dyDescent="0.35">
      <c r="A119" t="s">
        <v>257</v>
      </c>
      <c r="B119" t="s">
        <v>258</v>
      </c>
      <c r="C119" t="s">
        <v>14</v>
      </c>
      <c r="D119" t="s">
        <v>21</v>
      </c>
      <c r="E119" t="s">
        <v>16</v>
      </c>
      <c r="F119" s="1">
        <v>43997</v>
      </c>
      <c r="G119">
        <v>91201</v>
      </c>
      <c r="H119">
        <v>3</v>
      </c>
      <c r="I119">
        <v>97.38</v>
      </c>
      <c r="J119">
        <v>2</v>
      </c>
      <c r="K119" t="s">
        <v>33</v>
      </c>
      <c r="L119" t="s">
        <v>28</v>
      </c>
      <c r="M119" s="1">
        <f>Table1[[#This Row],[Hire_Date]]</f>
        <v>43997</v>
      </c>
      <c r="N119">
        <f>MONTH(Table1[[#This Row],[Hire_Date]])</f>
        <v>6</v>
      </c>
      <c r="O119" t="str">
        <f>TEXT(Table1[[#This Row],[Hire_Date]],"mmmm")</f>
        <v>June</v>
      </c>
      <c r="P119" t="str">
        <f>IF(Table1[[#This Row],[Salary]]&lt;40000,"Low",IF(Table1[[#This Row],[Salary]]&lt;70000,"Medium",IF(Table1[[#This Row],[Salary]]&gt;70000,"High")))</f>
        <v>High</v>
      </c>
    </row>
    <row r="120" spans="1:16" x14ac:dyDescent="0.35">
      <c r="A120" t="s">
        <v>259</v>
      </c>
      <c r="B120" t="s">
        <v>260</v>
      </c>
      <c r="C120" t="s">
        <v>39</v>
      </c>
      <c r="D120" t="s">
        <v>21</v>
      </c>
      <c r="E120" t="s">
        <v>16</v>
      </c>
      <c r="F120" s="1">
        <v>45434</v>
      </c>
      <c r="G120">
        <v>85569</v>
      </c>
      <c r="H120">
        <v>4</v>
      </c>
      <c r="I120">
        <v>91.77</v>
      </c>
      <c r="J120">
        <v>17</v>
      </c>
      <c r="K120" t="s">
        <v>33</v>
      </c>
      <c r="L120" t="s">
        <v>34</v>
      </c>
      <c r="M120" s="1">
        <f>Table1[[#This Row],[Hire_Date]]</f>
        <v>45434</v>
      </c>
      <c r="N120">
        <f>MONTH(Table1[[#This Row],[Hire_Date]])</f>
        <v>5</v>
      </c>
      <c r="O120" t="str">
        <f>TEXT(Table1[[#This Row],[Hire_Date]],"mmmm")</f>
        <v>May</v>
      </c>
      <c r="P120" t="str">
        <f>IF(Table1[[#This Row],[Salary]]&lt;40000,"Low",IF(Table1[[#This Row],[Salary]]&lt;70000,"Medium",IF(Table1[[#This Row],[Salary]]&gt;70000,"High")))</f>
        <v>High</v>
      </c>
    </row>
    <row r="121" spans="1:16" x14ac:dyDescent="0.35">
      <c r="A121" t="s">
        <v>261</v>
      </c>
      <c r="B121" t="s">
        <v>262</v>
      </c>
      <c r="C121" t="s">
        <v>39</v>
      </c>
      <c r="D121" t="s">
        <v>31</v>
      </c>
      <c r="E121" t="s">
        <v>27</v>
      </c>
      <c r="F121" s="1">
        <v>43513</v>
      </c>
      <c r="G121">
        <v>91761</v>
      </c>
      <c r="H121">
        <v>1</v>
      </c>
      <c r="I121">
        <v>97.58</v>
      </c>
      <c r="J121">
        <v>6</v>
      </c>
      <c r="K121" t="s">
        <v>17</v>
      </c>
      <c r="L121" t="s">
        <v>23</v>
      </c>
      <c r="M121" s="1">
        <f>Table1[[#This Row],[Hire_Date]]</f>
        <v>43513</v>
      </c>
      <c r="N121">
        <f>MONTH(Table1[[#This Row],[Hire_Date]])</f>
        <v>2</v>
      </c>
      <c r="O121" t="str">
        <f>TEXT(Table1[[#This Row],[Hire_Date]],"mmmm")</f>
        <v>February</v>
      </c>
      <c r="P121" t="str">
        <f>IF(Table1[[#This Row],[Salary]]&lt;40000,"Low",IF(Table1[[#This Row],[Salary]]&lt;70000,"Medium",IF(Table1[[#This Row],[Salary]]&gt;70000,"High")))</f>
        <v>High</v>
      </c>
    </row>
    <row r="122" spans="1:16" x14ac:dyDescent="0.35">
      <c r="A122" t="s">
        <v>263</v>
      </c>
      <c r="B122" t="s">
        <v>264</v>
      </c>
      <c r="C122" t="s">
        <v>39</v>
      </c>
      <c r="D122" t="s">
        <v>15</v>
      </c>
      <c r="E122" t="s">
        <v>32</v>
      </c>
      <c r="F122" s="1">
        <v>43327</v>
      </c>
      <c r="G122">
        <v>40678</v>
      </c>
      <c r="H122">
        <v>3</v>
      </c>
      <c r="I122">
        <v>82.91</v>
      </c>
      <c r="J122">
        <v>29</v>
      </c>
      <c r="K122" t="s">
        <v>17</v>
      </c>
      <c r="L122" t="s">
        <v>34</v>
      </c>
      <c r="M122" s="1">
        <f>Table1[[#This Row],[Hire_Date]]</f>
        <v>43327</v>
      </c>
      <c r="N122">
        <f>MONTH(Table1[[#This Row],[Hire_Date]])</f>
        <v>8</v>
      </c>
      <c r="O122" t="str">
        <f>TEXT(Table1[[#This Row],[Hire_Date]],"mmmm")</f>
        <v>August</v>
      </c>
      <c r="P122" t="str">
        <f>IF(Table1[[#This Row],[Salary]]&lt;40000,"Low",IF(Table1[[#This Row],[Salary]]&lt;70000,"Medium",IF(Table1[[#This Row],[Salary]]&gt;70000,"High")))</f>
        <v>Medium</v>
      </c>
    </row>
    <row r="123" spans="1:16" x14ac:dyDescent="0.35">
      <c r="A123" t="s">
        <v>265</v>
      </c>
      <c r="B123" t="s">
        <v>266</v>
      </c>
      <c r="C123" t="s">
        <v>14</v>
      </c>
      <c r="D123" t="s">
        <v>21</v>
      </c>
      <c r="E123" t="s">
        <v>27</v>
      </c>
      <c r="F123" s="1">
        <v>43519</v>
      </c>
      <c r="G123">
        <v>97349</v>
      </c>
      <c r="H123">
        <v>3</v>
      </c>
      <c r="I123">
        <v>97.97</v>
      </c>
      <c r="J123">
        <v>3</v>
      </c>
      <c r="K123" t="s">
        <v>17</v>
      </c>
      <c r="L123" t="s">
        <v>34</v>
      </c>
      <c r="M123" s="1">
        <f>Table1[[#This Row],[Hire_Date]]</f>
        <v>43519</v>
      </c>
      <c r="N123">
        <f>MONTH(Table1[[#This Row],[Hire_Date]])</f>
        <v>2</v>
      </c>
      <c r="O123" t="str">
        <f>TEXT(Table1[[#This Row],[Hire_Date]],"mmmm")</f>
        <v>February</v>
      </c>
      <c r="P123" t="str">
        <f>IF(Table1[[#This Row],[Salary]]&lt;40000,"Low",IF(Table1[[#This Row],[Salary]]&lt;70000,"Medium",IF(Table1[[#This Row],[Salary]]&gt;70000,"High")))</f>
        <v>High</v>
      </c>
    </row>
    <row r="124" spans="1:16" x14ac:dyDescent="0.35">
      <c r="A124" t="s">
        <v>267</v>
      </c>
      <c r="B124" t="s">
        <v>268</v>
      </c>
      <c r="C124" t="s">
        <v>39</v>
      </c>
      <c r="D124" t="s">
        <v>15</v>
      </c>
      <c r="E124" t="s">
        <v>27</v>
      </c>
      <c r="F124" s="1">
        <v>43602</v>
      </c>
      <c r="G124">
        <v>88688</v>
      </c>
      <c r="H124">
        <v>5</v>
      </c>
      <c r="I124">
        <v>93.33</v>
      </c>
      <c r="J124">
        <v>14</v>
      </c>
      <c r="K124" t="s">
        <v>17</v>
      </c>
      <c r="L124" t="s">
        <v>28</v>
      </c>
      <c r="M124" s="1">
        <f>Table1[[#This Row],[Hire_Date]]</f>
        <v>43602</v>
      </c>
      <c r="N124">
        <f>MONTH(Table1[[#This Row],[Hire_Date]])</f>
        <v>5</v>
      </c>
      <c r="O124" t="str">
        <f>TEXT(Table1[[#This Row],[Hire_Date]],"mmmm")</f>
        <v>May</v>
      </c>
      <c r="P124" t="str">
        <f>IF(Table1[[#This Row],[Salary]]&lt;40000,"Low",IF(Table1[[#This Row],[Salary]]&lt;70000,"Medium",IF(Table1[[#This Row],[Salary]]&gt;70000,"High")))</f>
        <v>High</v>
      </c>
    </row>
    <row r="125" spans="1:16" x14ac:dyDescent="0.35">
      <c r="A125" t="s">
        <v>269</v>
      </c>
      <c r="B125" t="s">
        <v>270</v>
      </c>
      <c r="C125" t="s">
        <v>14</v>
      </c>
      <c r="D125" t="s">
        <v>21</v>
      </c>
      <c r="E125" t="s">
        <v>22</v>
      </c>
      <c r="F125" s="1">
        <v>44381</v>
      </c>
      <c r="G125">
        <v>101200</v>
      </c>
      <c r="H125">
        <v>2</v>
      </c>
      <c r="I125">
        <v>86.3</v>
      </c>
      <c r="J125">
        <v>40</v>
      </c>
      <c r="K125" t="s">
        <v>17</v>
      </c>
      <c r="L125" t="s">
        <v>23</v>
      </c>
      <c r="M125" s="1">
        <f>Table1[[#This Row],[Hire_Date]]</f>
        <v>44381</v>
      </c>
      <c r="N125">
        <f>MONTH(Table1[[#This Row],[Hire_Date]])</f>
        <v>7</v>
      </c>
      <c r="O125" t="str">
        <f>TEXT(Table1[[#This Row],[Hire_Date]],"mmmm")</f>
        <v>July</v>
      </c>
      <c r="P125" t="str">
        <f>IF(Table1[[#This Row],[Salary]]&lt;40000,"Low",IF(Table1[[#This Row],[Salary]]&lt;70000,"Medium",IF(Table1[[#This Row],[Salary]]&gt;70000,"High")))</f>
        <v>High</v>
      </c>
    </row>
    <row r="126" spans="1:16" x14ac:dyDescent="0.35">
      <c r="A126" t="s">
        <v>271</v>
      </c>
      <c r="B126" t="s">
        <v>272</v>
      </c>
      <c r="C126" t="s">
        <v>14</v>
      </c>
      <c r="D126" t="s">
        <v>15</v>
      </c>
      <c r="E126" t="s">
        <v>27</v>
      </c>
      <c r="F126" s="1">
        <v>43259</v>
      </c>
      <c r="G126">
        <v>107197</v>
      </c>
      <c r="H126">
        <v>4</v>
      </c>
      <c r="I126">
        <v>84.63</v>
      </c>
      <c r="J126">
        <v>29</v>
      </c>
      <c r="K126" t="s">
        <v>33</v>
      </c>
      <c r="L126" t="s">
        <v>34</v>
      </c>
      <c r="M126" s="1">
        <f>Table1[[#This Row],[Hire_Date]]</f>
        <v>43259</v>
      </c>
      <c r="N126">
        <f>MONTH(Table1[[#This Row],[Hire_Date]])</f>
        <v>6</v>
      </c>
      <c r="O126" t="str">
        <f>TEXT(Table1[[#This Row],[Hire_Date]],"mmmm")</f>
        <v>June</v>
      </c>
      <c r="P126" t="str">
        <f>IF(Table1[[#This Row],[Salary]]&lt;40000,"Low",IF(Table1[[#This Row],[Salary]]&lt;70000,"Medium",IF(Table1[[#This Row],[Salary]]&gt;70000,"High")))</f>
        <v>High</v>
      </c>
    </row>
    <row r="127" spans="1:16" x14ac:dyDescent="0.35">
      <c r="A127" t="s">
        <v>273</v>
      </c>
      <c r="B127" t="s">
        <v>182</v>
      </c>
      <c r="C127" t="s">
        <v>39</v>
      </c>
      <c r="D127" t="s">
        <v>31</v>
      </c>
      <c r="E127" t="s">
        <v>16</v>
      </c>
      <c r="F127" s="1">
        <v>44549</v>
      </c>
      <c r="G127">
        <v>116390</v>
      </c>
      <c r="H127">
        <v>5</v>
      </c>
      <c r="I127">
        <v>99.87</v>
      </c>
      <c r="J127">
        <v>20</v>
      </c>
      <c r="K127" t="s">
        <v>17</v>
      </c>
      <c r="L127" t="s">
        <v>34</v>
      </c>
      <c r="M127" s="1">
        <f>Table1[[#This Row],[Hire_Date]]</f>
        <v>44549</v>
      </c>
      <c r="N127">
        <f>MONTH(Table1[[#This Row],[Hire_Date]])</f>
        <v>12</v>
      </c>
      <c r="O127" t="str">
        <f>TEXT(Table1[[#This Row],[Hire_Date]],"mmmm")</f>
        <v>December</v>
      </c>
      <c r="P127" t="str">
        <f>IF(Table1[[#This Row],[Salary]]&lt;40000,"Low",IF(Table1[[#This Row],[Salary]]&lt;70000,"Medium",IF(Table1[[#This Row],[Salary]]&gt;70000,"High")))</f>
        <v>High</v>
      </c>
    </row>
    <row r="128" spans="1:16" x14ac:dyDescent="0.35">
      <c r="A128" t="s">
        <v>274</v>
      </c>
      <c r="B128" t="s">
        <v>275</v>
      </c>
      <c r="C128" t="s">
        <v>14</v>
      </c>
      <c r="D128" t="s">
        <v>44</v>
      </c>
      <c r="E128" t="s">
        <v>22</v>
      </c>
      <c r="F128" s="1">
        <v>45281</v>
      </c>
      <c r="G128">
        <v>68576</v>
      </c>
      <c r="H128">
        <v>1</v>
      </c>
      <c r="I128">
        <v>77.34</v>
      </c>
      <c r="J128">
        <v>11</v>
      </c>
      <c r="K128" t="s">
        <v>17</v>
      </c>
      <c r="L128" t="s">
        <v>23</v>
      </c>
      <c r="M128" s="1">
        <f>Table1[[#This Row],[Hire_Date]]</f>
        <v>45281</v>
      </c>
      <c r="N128">
        <f>MONTH(Table1[[#This Row],[Hire_Date]])</f>
        <v>12</v>
      </c>
      <c r="O128" t="str">
        <f>TEXT(Table1[[#This Row],[Hire_Date]],"mmmm")</f>
        <v>December</v>
      </c>
      <c r="P128" t="str">
        <f>IF(Table1[[#This Row],[Salary]]&lt;40000,"Low",IF(Table1[[#This Row],[Salary]]&lt;70000,"Medium",IF(Table1[[#This Row],[Salary]]&gt;70000,"High")))</f>
        <v>Medium</v>
      </c>
    </row>
    <row r="129" spans="1:16" x14ac:dyDescent="0.35">
      <c r="A129" t="s">
        <v>276</v>
      </c>
      <c r="B129" t="s">
        <v>277</v>
      </c>
      <c r="C129" t="s">
        <v>14</v>
      </c>
      <c r="D129" t="s">
        <v>31</v>
      </c>
      <c r="E129" t="s">
        <v>27</v>
      </c>
      <c r="F129" s="1">
        <v>44389</v>
      </c>
      <c r="G129">
        <v>93606</v>
      </c>
      <c r="H129">
        <v>3</v>
      </c>
      <c r="I129">
        <v>94.85</v>
      </c>
      <c r="J129">
        <v>12</v>
      </c>
      <c r="K129" t="s">
        <v>17</v>
      </c>
      <c r="L129" t="s">
        <v>23</v>
      </c>
      <c r="M129" s="1">
        <f>Table1[[#This Row],[Hire_Date]]</f>
        <v>44389</v>
      </c>
      <c r="N129">
        <f>MONTH(Table1[[#This Row],[Hire_Date]])</f>
        <v>7</v>
      </c>
      <c r="O129" t="str">
        <f>TEXT(Table1[[#This Row],[Hire_Date]],"mmmm")</f>
        <v>July</v>
      </c>
      <c r="P129" t="str">
        <f>IF(Table1[[#This Row],[Salary]]&lt;40000,"Low",IF(Table1[[#This Row],[Salary]]&lt;70000,"Medium",IF(Table1[[#This Row],[Salary]]&gt;70000,"High")))</f>
        <v>High</v>
      </c>
    </row>
    <row r="130" spans="1:16" x14ac:dyDescent="0.35">
      <c r="A130" t="s">
        <v>278</v>
      </c>
      <c r="B130" t="s">
        <v>279</v>
      </c>
      <c r="C130" t="s">
        <v>14</v>
      </c>
      <c r="D130" t="s">
        <v>15</v>
      </c>
      <c r="E130" t="s">
        <v>32</v>
      </c>
      <c r="F130" s="1">
        <v>43251</v>
      </c>
      <c r="G130">
        <v>111345</v>
      </c>
      <c r="H130">
        <v>1</v>
      </c>
      <c r="I130">
        <v>80.790000000000006</v>
      </c>
      <c r="J130">
        <v>19</v>
      </c>
      <c r="K130" t="s">
        <v>33</v>
      </c>
      <c r="L130" t="s">
        <v>28</v>
      </c>
      <c r="M130" s="1">
        <f>Table1[[#This Row],[Hire_Date]]</f>
        <v>43251</v>
      </c>
      <c r="N130">
        <f>MONTH(Table1[[#This Row],[Hire_Date]])</f>
        <v>5</v>
      </c>
      <c r="O130" t="str">
        <f>TEXT(Table1[[#This Row],[Hire_Date]],"mmmm")</f>
        <v>May</v>
      </c>
      <c r="P130" t="str">
        <f>IF(Table1[[#This Row],[Salary]]&lt;40000,"Low",IF(Table1[[#This Row],[Salary]]&lt;70000,"Medium",IF(Table1[[#This Row],[Salary]]&gt;70000,"High")))</f>
        <v>High</v>
      </c>
    </row>
    <row r="131" spans="1:16" x14ac:dyDescent="0.35">
      <c r="A131" t="s">
        <v>280</v>
      </c>
      <c r="B131" t="s">
        <v>281</v>
      </c>
      <c r="C131" t="s">
        <v>14</v>
      </c>
      <c r="D131" t="s">
        <v>15</v>
      </c>
      <c r="E131" t="s">
        <v>22</v>
      </c>
      <c r="F131" s="1">
        <v>44585</v>
      </c>
      <c r="G131">
        <v>73242</v>
      </c>
      <c r="H131">
        <v>4</v>
      </c>
      <c r="I131">
        <v>76.06</v>
      </c>
      <c r="J131">
        <v>1</v>
      </c>
      <c r="K131" t="s">
        <v>17</v>
      </c>
      <c r="L131" t="s">
        <v>23</v>
      </c>
      <c r="M131" s="1">
        <f>Table1[[#This Row],[Hire_Date]]</f>
        <v>44585</v>
      </c>
      <c r="N131">
        <f>MONTH(Table1[[#This Row],[Hire_Date]])</f>
        <v>1</v>
      </c>
      <c r="O131" t="str">
        <f>TEXT(Table1[[#This Row],[Hire_Date]],"mmmm")</f>
        <v>January</v>
      </c>
      <c r="P131" t="str">
        <f>IF(Table1[[#This Row],[Salary]]&lt;40000,"Low",IF(Table1[[#This Row],[Salary]]&lt;70000,"Medium",IF(Table1[[#This Row],[Salary]]&gt;70000,"High")))</f>
        <v>High</v>
      </c>
    </row>
    <row r="132" spans="1:16" x14ac:dyDescent="0.35">
      <c r="A132" t="s">
        <v>282</v>
      </c>
      <c r="B132" t="s">
        <v>283</v>
      </c>
      <c r="C132" t="s">
        <v>39</v>
      </c>
      <c r="D132" t="s">
        <v>44</v>
      </c>
      <c r="E132" t="s">
        <v>32</v>
      </c>
      <c r="F132" s="1">
        <v>43708</v>
      </c>
      <c r="G132">
        <v>70955</v>
      </c>
      <c r="H132">
        <v>3</v>
      </c>
      <c r="I132">
        <v>88.59</v>
      </c>
      <c r="J132">
        <v>16</v>
      </c>
      <c r="K132" t="s">
        <v>33</v>
      </c>
      <c r="L132" t="s">
        <v>18</v>
      </c>
      <c r="M132" s="1">
        <f>Table1[[#This Row],[Hire_Date]]</f>
        <v>43708</v>
      </c>
      <c r="N132">
        <f>MONTH(Table1[[#This Row],[Hire_Date]])</f>
        <v>8</v>
      </c>
      <c r="O132" t="str">
        <f>TEXT(Table1[[#This Row],[Hire_Date]],"mmmm")</f>
        <v>August</v>
      </c>
      <c r="P132" t="str">
        <f>IF(Table1[[#This Row],[Salary]]&lt;40000,"Low",IF(Table1[[#This Row],[Salary]]&lt;70000,"Medium",IF(Table1[[#This Row],[Salary]]&gt;70000,"High")))</f>
        <v>High</v>
      </c>
    </row>
    <row r="133" spans="1:16" x14ac:dyDescent="0.35">
      <c r="A133" t="s">
        <v>284</v>
      </c>
      <c r="B133" t="s">
        <v>285</v>
      </c>
      <c r="C133" t="s">
        <v>39</v>
      </c>
      <c r="D133" t="s">
        <v>26</v>
      </c>
      <c r="E133" t="s">
        <v>27</v>
      </c>
      <c r="F133" s="1">
        <v>43708</v>
      </c>
      <c r="G133">
        <v>48355</v>
      </c>
      <c r="H133">
        <v>5</v>
      </c>
      <c r="I133">
        <v>87.94</v>
      </c>
      <c r="J133">
        <v>13</v>
      </c>
      <c r="K133" t="s">
        <v>33</v>
      </c>
      <c r="L133" t="s">
        <v>34</v>
      </c>
      <c r="M133" s="1">
        <f>Table1[[#This Row],[Hire_Date]]</f>
        <v>43708</v>
      </c>
      <c r="N133">
        <f>MONTH(Table1[[#This Row],[Hire_Date]])</f>
        <v>8</v>
      </c>
      <c r="O133" t="str">
        <f>TEXT(Table1[[#This Row],[Hire_Date]],"mmmm")</f>
        <v>August</v>
      </c>
      <c r="P133" t="str">
        <f>IF(Table1[[#This Row],[Salary]]&lt;40000,"Low",IF(Table1[[#This Row],[Salary]]&lt;70000,"Medium",IF(Table1[[#This Row],[Salary]]&gt;70000,"High")))</f>
        <v>Medium</v>
      </c>
    </row>
    <row r="134" spans="1:16" x14ac:dyDescent="0.35">
      <c r="A134" t="s">
        <v>286</v>
      </c>
      <c r="B134" t="s">
        <v>287</v>
      </c>
      <c r="C134" t="s">
        <v>14</v>
      </c>
      <c r="D134" t="s">
        <v>31</v>
      </c>
      <c r="E134" t="s">
        <v>16</v>
      </c>
      <c r="F134" s="1">
        <v>43836</v>
      </c>
      <c r="G134">
        <v>42435</v>
      </c>
      <c r="H134">
        <v>1</v>
      </c>
      <c r="I134">
        <v>90.11</v>
      </c>
      <c r="J134">
        <v>31</v>
      </c>
      <c r="K134" t="s">
        <v>33</v>
      </c>
      <c r="L134" t="s">
        <v>18</v>
      </c>
      <c r="M134" s="1">
        <f>Table1[[#This Row],[Hire_Date]]</f>
        <v>43836</v>
      </c>
      <c r="N134">
        <f>MONTH(Table1[[#This Row],[Hire_Date]])</f>
        <v>1</v>
      </c>
      <c r="O134" t="str">
        <f>TEXT(Table1[[#This Row],[Hire_Date]],"mmmm")</f>
        <v>January</v>
      </c>
      <c r="P134" t="str">
        <f>IF(Table1[[#This Row],[Salary]]&lt;40000,"Low",IF(Table1[[#This Row],[Salary]]&lt;70000,"Medium",IF(Table1[[#This Row],[Salary]]&gt;70000,"High")))</f>
        <v>Medium</v>
      </c>
    </row>
    <row r="135" spans="1:16" x14ac:dyDescent="0.35">
      <c r="A135" t="s">
        <v>288</v>
      </c>
      <c r="B135" t="s">
        <v>289</v>
      </c>
      <c r="C135" t="s">
        <v>39</v>
      </c>
      <c r="D135" t="s">
        <v>21</v>
      </c>
      <c r="E135" t="s">
        <v>27</v>
      </c>
      <c r="F135" s="1">
        <v>44732</v>
      </c>
      <c r="G135">
        <v>105809</v>
      </c>
      <c r="H135">
        <v>2</v>
      </c>
      <c r="I135">
        <v>94.06</v>
      </c>
      <c r="J135">
        <v>33</v>
      </c>
      <c r="K135" t="s">
        <v>17</v>
      </c>
      <c r="L135" t="s">
        <v>34</v>
      </c>
      <c r="M135" s="1">
        <f>Table1[[#This Row],[Hire_Date]]</f>
        <v>44732</v>
      </c>
      <c r="N135">
        <f>MONTH(Table1[[#This Row],[Hire_Date]])</f>
        <v>6</v>
      </c>
      <c r="O135" t="str">
        <f>TEXT(Table1[[#This Row],[Hire_Date]],"mmmm")</f>
        <v>June</v>
      </c>
      <c r="P135" t="str">
        <f>IF(Table1[[#This Row],[Salary]]&lt;40000,"Low",IF(Table1[[#This Row],[Salary]]&lt;70000,"Medium",IF(Table1[[#This Row],[Salary]]&gt;70000,"High")))</f>
        <v>High</v>
      </c>
    </row>
    <row r="136" spans="1:16" x14ac:dyDescent="0.35">
      <c r="A136" t="s">
        <v>290</v>
      </c>
      <c r="B136" t="s">
        <v>291</v>
      </c>
      <c r="C136" t="s">
        <v>39</v>
      </c>
      <c r="D136" t="s">
        <v>44</v>
      </c>
      <c r="E136" t="s">
        <v>16</v>
      </c>
      <c r="F136" s="1">
        <v>44233</v>
      </c>
      <c r="G136">
        <v>103383</v>
      </c>
      <c r="H136">
        <v>1</v>
      </c>
      <c r="I136">
        <v>82.41</v>
      </c>
      <c r="J136">
        <v>19</v>
      </c>
      <c r="K136" t="s">
        <v>33</v>
      </c>
      <c r="L136" t="s">
        <v>23</v>
      </c>
      <c r="M136" s="1">
        <f>Table1[[#This Row],[Hire_Date]]</f>
        <v>44233</v>
      </c>
      <c r="N136">
        <f>MONTH(Table1[[#This Row],[Hire_Date]])</f>
        <v>2</v>
      </c>
      <c r="O136" t="str">
        <f>TEXT(Table1[[#This Row],[Hire_Date]],"mmmm")</f>
        <v>February</v>
      </c>
      <c r="P136" t="str">
        <f>IF(Table1[[#This Row],[Salary]]&lt;40000,"Low",IF(Table1[[#This Row],[Salary]]&lt;70000,"Medium",IF(Table1[[#This Row],[Salary]]&gt;70000,"High")))</f>
        <v>High</v>
      </c>
    </row>
    <row r="137" spans="1:16" x14ac:dyDescent="0.35">
      <c r="A137" t="s">
        <v>292</v>
      </c>
      <c r="B137" t="s">
        <v>293</v>
      </c>
      <c r="C137" t="s">
        <v>14</v>
      </c>
      <c r="D137" t="s">
        <v>26</v>
      </c>
      <c r="E137" t="s">
        <v>27</v>
      </c>
      <c r="F137" s="1">
        <v>44082</v>
      </c>
      <c r="G137">
        <v>78227</v>
      </c>
      <c r="H137">
        <v>2</v>
      </c>
      <c r="I137">
        <v>83.28</v>
      </c>
      <c r="J137">
        <v>16</v>
      </c>
      <c r="K137" t="s">
        <v>33</v>
      </c>
      <c r="L137" t="s">
        <v>28</v>
      </c>
      <c r="M137" s="1">
        <f>Table1[[#This Row],[Hire_Date]]</f>
        <v>44082</v>
      </c>
      <c r="N137">
        <f>MONTH(Table1[[#This Row],[Hire_Date]])</f>
        <v>9</v>
      </c>
      <c r="O137" t="str">
        <f>TEXT(Table1[[#This Row],[Hire_Date]],"mmmm")</f>
        <v>September</v>
      </c>
      <c r="P137" t="str">
        <f>IF(Table1[[#This Row],[Salary]]&lt;40000,"Low",IF(Table1[[#This Row],[Salary]]&lt;70000,"Medium",IF(Table1[[#This Row],[Salary]]&gt;70000,"High")))</f>
        <v>High</v>
      </c>
    </row>
    <row r="138" spans="1:16" x14ac:dyDescent="0.35">
      <c r="A138" t="s">
        <v>294</v>
      </c>
      <c r="B138" t="s">
        <v>295</v>
      </c>
      <c r="C138" t="s">
        <v>39</v>
      </c>
      <c r="D138" t="s">
        <v>21</v>
      </c>
      <c r="E138" t="s">
        <v>22</v>
      </c>
      <c r="F138" s="1">
        <v>44063</v>
      </c>
      <c r="G138">
        <v>35431</v>
      </c>
      <c r="H138">
        <v>5</v>
      </c>
      <c r="I138">
        <v>83.12</v>
      </c>
      <c r="J138">
        <v>17</v>
      </c>
      <c r="K138" t="s">
        <v>17</v>
      </c>
      <c r="L138" t="s">
        <v>18</v>
      </c>
      <c r="M138" s="1">
        <f>Table1[[#This Row],[Hire_Date]]</f>
        <v>44063</v>
      </c>
      <c r="N138">
        <f>MONTH(Table1[[#This Row],[Hire_Date]])</f>
        <v>8</v>
      </c>
      <c r="O138" t="str">
        <f>TEXT(Table1[[#This Row],[Hire_Date]],"mmmm")</f>
        <v>August</v>
      </c>
      <c r="P138" t="str">
        <f>IF(Table1[[#This Row],[Salary]]&lt;40000,"Low",IF(Table1[[#This Row],[Salary]]&lt;70000,"Medium",IF(Table1[[#This Row],[Salary]]&gt;70000,"High")))</f>
        <v>Low</v>
      </c>
    </row>
    <row r="139" spans="1:16" x14ac:dyDescent="0.35">
      <c r="A139" t="s">
        <v>296</v>
      </c>
      <c r="B139" t="s">
        <v>297</v>
      </c>
      <c r="C139" t="s">
        <v>39</v>
      </c>
      <c r="D139" t="s">
        <v>21</v>
      </c>
      <c r="E139" t="s">
        <v>27</v>
      </c>
      <c r="F139" s="1">
        <v>45584</v>
      </c>
      <c r="G139">
        <v>114831</v>
      </c>
      <c r="H139">
        <v>1</v>
      </c>
      <c r="I139">
        <v>78.180000000000007</v>
      </c>
      <c r="J139">
        <v>19</v>
      </c>
      <c r="K139" t="s">
        <v>33</v>
      </c>
      <c r="L139" t="s">
        <v>28</v>
      </c>
      <c r="M139" s="1">
        <f>Table1[[#This Row],[Hire_Date]]</f>
        <v>45584</v>
      </c>
      <c r="N139">
        <f>MONTH(Table1[[#This Row],[Hire_Date]])</f>
        <v>10</v>
      </c>
      <c r="O139" t="str">
        <f>TEXT(Table1[[#This Row],[Hire_Date]],"mmmm")</f>
        <v>October</v>
      </c>
      <c r="P139" t="str">
        <f>IF(Table1[[#This Row],[Salary]]&lt;40000,"Low",IF(Table1[[#This Row],[Salary]]&lt;70000,"Medium",IF(Table1[[#This Row],[Salary]]&gt;70000,"High")))</f>
        <v>High</v>
      </c>
    </row>
    <row r="140" spans="1:16" x14ac:dyDescent="0.35">
      <c r="A140" t="s">
        <v>298</v>
      </c>
      <c r="B140" t="s">
        <v>299</v>
      </c>
      <c r="C140" t="s">
        <v>39</v>
      </c>
      <c r="D140" t="s">
        <v>44</v>
      </c>
      <c r="E140" t="s">
        <v>16</v>
      </c>
      <c r="F140" s="1">
        <v>44076</v>
      </c>
      <c r="G140">
        <v>31613</v>
      </c>
      <c r="H140">
        <v>1</v>
      </c>
      <c r="I140">
        <v>85.3</v>
      </c>
      <c r="J140">
        <v>27</v>
      </c>
      <c r="K140" t="s">
        <v>17</v>
      </c>
      <c r="L140" t="s">
        <v>34</v>
      </c>
      <c r="M140" s="1">
        <f>Table1[[#This Row],[Hire_Date]]</f>
        <v>44076</v>
      </c>
      <c r="N140">
        <f>MONTH(Table1[[#This Row],[Hire_Date]])</f>
        <v>9</v>
      </c>
      <c r="O140" t="str">
        <f>TEXT(Table1[[#This Row],[Hire_Date]],"mmmm")</f>
        <v>September</v>
      </c>
      <c r="P140" t="str">
        <f>IF(Table1[[#This Row],[Salary]]&lt;40000,"Low",IF(Table1[[#This Row],[Salary]]&lt;70000,"Medium",IF(Table1[[#This Row],[Salary]]&gt;70000,"High")))</f>
        <v>Low</v>
      </c>
    </row>
    <row r="141" spans="1:16" x14ac:dyDescent="0.35">
      <c r="A141" t="s">
        <v>300</v>
      </c>
      <c r="B141" t="s">
        <v>301</v>
      </c>
      <c r="C141" t="s">
        <v>39</v>
      </c>
      <c r="D141" t="s">
        <v>21</v>
      </c>
      <c r="E141" t="s">
        <v>27</v>
      </c>
      <c r="F141" s="1">
        <v>44851</v>
      </c>
      <c r="G141">
        <v>105136</v>
      </c>
      <c r="H141">
        <v>2</v>
      </c>
      <c r="I141">
        <v>77.569999999999993</v>
      </c>
      <c r="J141">
        <v>29</v>
      </c>
      <c r="K141" t="s">
        <v>33</v>
      </c>
      <c r="L141" t="s">
        <v>18</v>
      </c>
      <c r="M141" s="1">
        <f>Table1[[#This Row],[Hire_Date]]</f>
        <v>44851</v>
      </c>
      <c r="N141">
        <f>MONTH(Table1[[#This Row],[Hire_Date]])</f>
        <v>10</v>
      </c>
      <c r="O141" t="str">
        <f>TEXT(Table1[[#This Row],[Hire_Date]],"mmmm")</f>
        <v>October</v>
      </c>
      <c r="P141" t="str">
        <f>IF(Table1[[#This Row],[Salary]]&lt;40000,"Low",IF(Table1[[#This Row],[Salary]]&lt;70000,"Medium",IF(Table1[[#This Row],[Salary]]&gt;70000,"High")))</f>
        <v>High</v>
      </c>
    </row>
    <row r="142" spans="1:16" x14ac:dyDescent="0.35">
      <c r="A142" t="s">
        <v>302</v>
      </c>
      <c r="B142" t="s">
        <v>303</v>
      </c>
      <c r="C142" t="s">
        <v>14</v>
      </c>
      <c r="D142" t="s">
        <v>26</v>
      </c>
      <c r="E142" t="s">
        <v>32</v>
      </c>
      <c r="F142" s="1">
        <v>45105</v>
      </c>
      <c r="G142">
        <v>51012</v>
      </c>
      <c r="H142">
        <v>3</v>
      </c>
      <c r="I142">
        <v>90.15</v>
      </c>
      <c r="J142">
        <v>4</v>
      </c>
      <c r="K142" t="s">
        <v>33</v>
      </c>
      <c r="L142" t="s">
        <v>34</v>
      </c>
      <c r="M142" s="1">
        <f>Table1[[#This Row],[Hire_Date]]</f>
        <v>45105</v>
      </c>
      <c r="N142">
        <f>MONTH(Table1[[#This Row],[Hire_Date]])</f>
        <v>6</v>
      </c>
      <c r="O142" t="str">
        <f>TEXT(Table1[[#This Row],[Hire_Date]],"mmmm")</f>
        <v>June</v>
      </c>
      <c r="P142" t="str">
        <f>IF(Table1[[#This Row],[Salary]]&lt;40000,"Low",IF(Table1[[#This Row],[Salary]]&lt;70000,"Medium",IF(Table1[[#This Row],[Salary]]&gt;70000,"High")))</f>
        <v>Medium</v>
      </c>
    </row>
    <row r="143" spans="1:16" x14ac:dyDescent="0.35">
      <c r="A143" t="s">
        <v>304</v>
      </c>
      <c r="B143" t="s">
        <v>305</v>
      </c>
      <c r="C143" t="s">
        <v>39</v>
      </c>
      <c r="D143" t="s">
        <v>21</v>
      </c>
      <c r="E143" t="s">
        <v>32</v>
      </c>
      <c r="F143" s="1">
        <v>45328</v>
      </c>
      <c r="G143">
        <v>107181</v>
      </c>
      <c r="H143">
        <v>4</v>
      </c>
      <c r="I143">
        <v>84.75</v>
      </c>
      <c r="J143">
        <v>10</v>
      </c>
      <c r="K143" t="s">
        <v>17</v>
      </c>
      <c r="L143" t="s">
        <v>34</v>
      </c>
      <c r="M143" s="1">
        <f>Table1[[#This Row],[Hire_Date]]</f>
        <v>45328</v>
      </c>
      <c r="N143">
        <f>MONTH(Table1[[#This Row],[Hire_Date]])</f>
        <v>2</v>
      </c>
      <c r="O143" t="str">
        <f>TEXT(Table1[[#This Row],[Hire_Date]],"mmmm")</f>
        <v>February</v>
      </c>
      <c r="P143" t="str">
        <f>IF(Table1[[#This Row],[Salary]]&lt;40000,"Low",IF(Table1[[#This Row],[Salary]]&lt;70000,"Medium",IF(Table1[[#This Row],[Salary]]&gt;70000,"High")))</f>
        <v>High</v>
      </c>
    </row>
    <row r="144" spans="1:16" x14ac:dyDescent="0.35">
      <c r="A144" t="s">
        <v>306</v>
      </c>
      <c r="B144" t="s">
        <v>78</v>
      </c>
      <c r="C144" t="s">
        <v>14</v>
      </c>
      <c r="D144" t="s">
        <v>44</v>
      </c>
      <c r="E144" t="s">
        <v>16</v>
      </c>
      <c r="F144" s="1">
        <v>45393</v>
      </c>
      <c r="G144">
        <v>70150</v>
      </c>
      <c r="H144">
        <v>1</v>
      </c>
      <c r="I144">
        <v>98.55</v>
      </c>
      <c r="J144">
        <v>3</v>
      </c>
      <c r="K144" t="s">
        <v>33</v>
      </c>
      <c r="L144" t="s">
        <v>18</v>
      </c>
      <c r="M144" s="1">
        <f>Table1[[#This Row],[Hire_Date]]</f>
        <v>45393</v>
      </c>
      <c r="N144">
        <f>MONTH(Table1[[#This Row],[Hire_Date]])</f>
        <v>4</v>
      </c>
      <c r="O144" t="str">
        <f>TEXT(Table1[[#This Row],[Hire_Date]],"mmmm")</f>
        <v>April</v>
      </c>
      <c r="P144" t="str">
        <f>IF(Table1[[#This Row],[Salary]]&lt;40000,"Low",IF(Table1[[#This Row],[Salary]]&lt;70000,"Medium",IF(Table1[[#This Row],[Salary]]&gt;70000,"High")))</f>
        <v>High</v>
      </c>
    </row>
    <row r="145" spans="1:16" x14ac:dyDescent="0.35">
      <c r="A145" t="s">
        <v>307</v>
      </c>
      <c r="B145" t="s">
        <v>308</v>
      </c>
      <c r="C145" t="s">
        <v>39</v>
      </c>
      <c r="D145" t="s">
        <v>15</v>
      </c>
      <c r="E145" t="s">
        <v>27</v>
      </c>
      <c r="F145" s="1">
        <v>43720</v>
      </c>
      <c r="G145">
        <v>118489</v>
      </c>
      <c r="H145">
        <v>5</v>
      </c>
      <c r="I145">
        <v>95.82</v>
      </c>
      <c r="J145">
        <v>7</v>
      </c>
      <c r="K145" t="s">
        <v>17</v>
      </c>
      <c r="L145" t="s">
        <v>34</v>
      </c>
      <c r="M145" s="1">
        <f>Table1[[#This Row],[Hire_Date]]</f>
        <v>43720</v>
      </c>
      <c r="N145">
        <f>MONTH(Table1[[#This Row],[Hire_Date]])</f>
        <v>9</v>
      </c>
      <c r="O145" t="str">
        <f>TEXT(Table1[[#This Row],[Hire_Date]],"mmmm")</f>
        <v>September</v>
      </c>
      <c r="P145" t="str">
        <f>IF(Table1[[#This Row],[Salary]]&lt;40000,"Low",IF(Table1[[#This Row],[Salary]]&lt;70000,"Medium",IF(Table1[[#This Row],[Salary]]&gt;70000,"High")))</f>
        <v>High</v>
      </c>
    </row>
    <row r="146" spans="1:16" x14ac:dyDescent="0.35">
      <c r="A146" t="s">
        <v>309</v>
      </c>
      <c r="B146" t="s">
        <v>310</v>
      </c>
      <c r="C146" t="s">
        <v>39</v>
      </c>
      <c r="D146" t="s">
        <v>15</v>
      </c>
      <c r="E146" t="s">
        <v>32</v>
      </c>
      <c r="F146" s="1">
        <v>43732</v>
      </c>
      <c r="G146">
        <v>67288</v>
      </c>
      <c r="H146">
        <v>1</v>
      </c>
      <c r="I146">
        <v>95.07</v>
      </c>
      <c r="J146">
        <v>15</v>
      </c>
      <c r="K146" t="s">
        <v>33</v>
      </c>
      <c r="L146" t="s">
        <v>23</v>
      </c>
      <c r="M146" s="1">
        <f>Table1[[#This Row],[Hire_Date]]</f>
        <v>43732</v>
      </c>
      <c r="N146">
        <f>MONTH(Table1[[#This Row],[Hire_Date]])</f>
        <v>9</v>
      </c>
      <c r="O146" t="str">
        <f>TEXT(Table1[[#This Row],[Hire_Date]],"mmmm")</f>
        <v>September</v>
      </c>
      <c r="P146" t="str">
        <f>IF(Table1[[#This Row],[Salary]]&lt;40000,"Low",IF(Table1[[#This Row],[Salary]]&lt;70000,"Medium",IF(Table1[[#This Row],[Salary]]&gt;70000,"High")))</f>
        <v>Medium</v>
      </c>
    </row>
    <row r="147" spans="1:16" x14ac:dyDescent="0.35">
      <c r="A147" t="s">
        <v>311</v>
      </c>
      <c r="B147" t="s">
        <v>312</v>
      </c>
      <c r="C147" t="s">
        <v>14</v>
      </c>
      <c r="D147" t="s">
        <v>31</v>
      </c>
      <c r="E147" t="s">
        <v>16</v>
      </c>
      <c r="F147" s="1">
        <v>45574</v>
      </c>
      <c r="G147">
        <v>104948</v>
      </c>
      <c r="H147">
        <v>3</v>
      </c>
      <c r="I147">
        <v>92.92</v>
      </c>
      <c r="J147">
        <v>37</v>
      </c>
      <c r="K147" t="s">
        <v>33</v>
      </c>
      <c r="L147" t="s">
        <v>34</v>
      </c>
      <c r="M147" s="1">
        <f>Table1[[#This Row],[Hire_Date]]</f>
        <v>45574</v>
      </c>
      <c r="N147">
        <f>MONTH(Table1[[#This Row],[Hire_Date]])</f>
        <v>10</v>
      </c>
      <c r="O147" t="str">
        <f>TEXT(Table1[[#This Row],[Hire_Date]],"mmmm")</f>
        <v>October</v>
      </c>
      <c r="P147" t="str">
        <f>IF(Table1[[#This Row],[Salary]]&lt;40000,"Low",IF(Table1[[#This Row],[Salary]]&lt;70000,"Medium",IF(Table1[[#This Row],[Salary]]&gt;70000,"High")))</f>
        <v>High</v>
      </c>
    </row>
    <row r="148" spans="1:16" x14ac:dyDescent="0.35">
      <c r="A148" t="s">
        <v>313</v>
      </c>
      <c r="B148" t="s">
        <v>314</v>
      </c>
      <c r="C148" t="s">
        <v>39</v>
      </c>
      <c r="D148" t="s">
        <v>15</v>
      </c>
      <c r="E148" t="s">
        <v>16</v>
      </c>
      <c r="F148" s="1">
        <v>43938</v>
      </c>
      <c r="G148">
        <v>102971</v>
      </c>
      <c r="H148">
        <v>5</v>
      </c>
      <c r="I148">
        <v>87.51</v>
      </c>
      <c r="J148">
        <v>11</v>
      </c>
      <c r="K148" t="s">
        <v>33</v>
      </c>
      <c r="L148" t="s">
        <v>18</v>
      </c>
      <c r="M148" s="1">
        <f>Table1[[#This Row],[Hire_Date]]</f>
        <v>43938</v>
      </c>
      <c r="N148">
        <f>MONTH(Table1[[#This Row],[Hire_Date]])</f>
        <v>4</v>
      </c>
      <c r="O148" t="str">
        <f>TEXT(Table1[[#This Row],[Hire_Date]],"mmmm")</f>
        <v>April</v>
      </c>
      <c r="P148" t="str">
        <f>IF(Table1[[#This Row],[Salary]]&lt;40000,"Low",IF(Table1[[#This Row],[Salary]]&lt;70000,"Medium",IF(Table1[[#This Row],[Salary]]&gt;70000,"High")))</f>
        <v>High</v>
      </c>
    </row>
    <row r="149" spans="1:16" x14ac:dyDescent="0.35">
      <c r="A149" t="s">
        <v>315</v>
      </c>
      <c r="B149" t="s">
        <v>235</v>
      </c>
      <c r="C149" t="s">
        <v>14</v>
      </c>
      <c r="D149" t="s">
        <v>44</v>
      </c>
      <c r="E149" t="s">
        <v>22</v>
      </c>
      <c r="F149" s="1">
        <v>43275</v>
      </c>
      <c r="G149">
        <v>56894</v>
      </c>
      <c r="H149">
        <v>3</v>
      </c>
      <c r="I149">
        <v>88.87</v>
      </c>
      <c r="J149">
        <v>25</v>
      </c>
      <c r="K149" t="s">
        <v>17</v>
      </c>
      <c r="L149" t="s">
        <v>28</v>
      </c>
      <c r="M149" s="1">
        <f>Table1[[#This Row],[Hire_Date]]</f>
        <v>43275</v>
      </c>
      <c r="N149">
        <f>MONTH(Table1[[#This Row],[Hire_Date]])</f>
        <v>6</v>
      </c>
      <c r="O149" t="str">
        <f>TEXT(Table1[[#This Row],[Hire_Date]],"mmmm")</f>
        <v>June</v>
      </c>
      <c r="P149" t="str">
        <f>IF(Table1[[#This Row],[Salary]]&lt;40000,"Low",IF(Table1[[#This Row],[Salary]]&lt;70000,"Medium",IF(Table1[[#This Row],[Salary]]&gt;70000,"High")))</f>
        <v>Medium</v>
      </c>
    </row>
    <row r="150" spans="1:16" x14ac:dyDescent="0.35">
      <c r="A150" t="s">
        <v>316</v>
      </c>
      <c r="B150" t="s">
        <v>317</v>
      </c>
      <c r="C150" t="s">
        <v>39</v>
      </c>
      <c r="D150" t="s">
        <v>21</v>
      </c>
      <c r="E150" t="s">
        <v>16</v>
      </c>
      <c r="F150" s="1">
        <v>44028</v>
      </c>
      <c r="G150">
        <v>112320</v>
      </c>
      <c r="H150">
        <v>3</v>
      </c>
      <c r="I150">
        <v>90.01</v>
      </c>
      <c r="J150">
        <v>40</v>
      </c>
      <c r="K150" t="s">
        <v>33</v>
      </c>
      <c r="L150" t="s">
        <v>34</v>
      </c>
      <c r="M150" s="1">
        <f>Table1[[#This Row],[Hire_Date]]</f>
        <v>44028</v>
      </c>
      <c r="N150">
        <f>MONTH(Table1[[#This Row],[Hire_Date]])</f>
        <v>7</v>
      </c>
      <c r="O150" t="str">
        <f>TEXT(Table1[[#This Row],[Hire_Date]],"mmmm")</f>
        <v>July</v>
      </c>
      <c r="P150" t="str">
        <f>IF(Table1[[#This Row],[Salary]]&lt;40000,"Low",IF(Table1[[#This Row],[Salary]]&lt;70000,"Medium",IF(Table1[[#This Row],[Salary]]&gt;70000,"High")))</f>
        <v>High</v>
      </c>
    </row>
    <row r="151" spans="1:16" x14ac:dyDescent="0.35">
      <c r="A151" t="s">
        <v>318</v>
      </c>
      <c r="B151" t="s">
        <v>319</v>
      </c>
      <c r="C151" t="s">
        <v>14</v>
      </c>
      <c r="D151" t="s">
        <v>44</v>
      </c>
      <c r="E151" t="s">
        <v>27</v>
      </c>
      <c r="F151" s="1">
        <v>44618</v>
      </c>
      <c r="G151">
        <v>96146</v>
      </c>
      <c r="H151">
        <v>2</v>
      </c>
      <c r="I151">
        <v>92.24</v>
      </c>
      <c r="J151">
        <v>9</v>
      </c>
      <c r="K151" t="s">
        <v>33</v>
      </c>
      <c r="L151" t="s">
        <v>34</v>
      </c>
      <c r="M151" s="1">
        <f>Table1[[#This Row],[Hire_Date]]</f>
        <v>44618</v>
      </c>
      <c r="N151">
        <f>MONTH(Table1[[#This Row],[Hire_Date]])</f>
        <v>2</v>
      </c>
      <c r="O151" t="str">
        <f>TEXT(Table1[[#This Row],[Hire_Date]],"mmmm")</f>
        <v>February</v>
      </c>
      <c r="P151" t="str">
        <f>IF(Table1[[#This Row],[Salary]]&lt;40000,"Low",IF(Table1[[#This Row],[Salary]]&lt;70000,"Medium",IF(Table1[[#This Row],[Salary]]&gt;70000,"High")))</f>
        <v>High</v>
      </c>
    </row>
    <row r="152" spans="1:16" x14ac:dyDescent="0.35">
      <c r="A152" t="s">
        <v>320</v>
      </c>
      <c r="B152" t="s">
        <v>169</v>
      </c>
      <c r="C152" t="s">
        <v>14</v>
      </c>
      <c r="D152" t="s">
        <v>21</v>
      </c>
      <c r="E152" t="s">
        <v>27</v>
      </c>
      <c r="F152" s="1">
        <v>45060</v>
      </c>
      <c r="G152">
        <v>108495</v>
      </c>
      <c r="H152">
        <v>3</v>
      </c>
      <c r="I152">
        <v>99.09</v>
      </c>
      <c r="J152">
        <v>10</v>
      </c>
      <c r="K152" t="s">
        <v>33</v>
      </c>
      <c r="L152" t="s">
        <v>23</v>
      </c>
      <c r="M152" s="1">
        <f>Table1[[#This Row],[Hire_Date]]</f>
        <v>45060</v>
      </c>
      <c r="N152">
        <f>MONTH(Table1[[#This Row],[Hire_Date]])</f>
        <v>5</v>
      </c>
      <c r="O152" t="str">
        <f>TEXT(Table1[[#This Row],[Hire_Date]],"mmmm")</f>
        <v>May</v>
      </c>
      <c r="P152" t="str">
        <f>IF(Table1[[#This Row],[Salary]]&lt;40000,"Low",IF(Table1[[#This Row],[Salary]]&lt;70000,"Medium",IF(Table1[[#This Row],[Salary]]&gt;70000,"High")))</f>
        <v>High</v>
      </c>
    </row>
    <row r="153" spans="1:16" x14ac:dyDescent="0.35">
      <c r="A153" t="s">
        <v>321</v>
      </c>
      <c r="B153" t="s">
        <v>186</v>
      </c>
      <c r="C153" t="s">
        <v>39</v>
      </c>
      <c r="D153" t="s">
        <v>44</v>
      </c>
      <c r="E153" t="s">
        <v>16</v>
      </c>
      <c r="F153" s="1">
        <v>44528</v>
      </c>
      <c r="G153">
        <v>61329</v>
      </c>
      <c r="H153">
        <v>4</v>
      </c>
      <c r="I153">
        <v>78.22</v>
      </c>
      <c r="J153">
        <v>25</v>
      </c>
      <c r="K153" t="s">
        <v>33</v>
      </c>
      <c r="L153" t="s">
        <v>18</v>
      </c>
      <c r="M153" s="1">
        <f>Table1[[#This Row],[Hire_Date]]</f>
        <v>44528</v>
      </c>
      <c r="N153">
        <f>MONTH(Table1[[#This Row],[Hire_Date]])</f>
        <v>11</v>
      </c>
      <c r="O153" t="str">
        <f>TEXT(Table1[[#This Row],[Hire_Date]],"mmmm")</f>
        <v>November</v>
      </c>
      <c r="P153" t="str">
        <f>IF(Table1[[#This Row],[Salary]]&lt;40000,"Low",IF(Table1[[#This Row],[Salary]]&lt;70000,"Medium",IF(Table1[[#This Row],[Salary]]&gt;70000,"High")))</f>
        <v>Medium</v>
      </c>
    </row>
    <row r="154" spans="1:16" x14ac:dyDescent="0.35">
      <c r="A154" t="s">
        <v>322</v>
      </c>
      <c r="B154" t="s">
        <v>323</v>
      </c>
      <c r="C154" t="s">
        <v>14</v>
      </c>
      <c r="D154" t="s">
        <v>15</v>
      </c>
      <c r="E154" t="s">
        <v>16</v>
      </c>
      <c r="F154" s="1">
        <v>44058</v>
      </c>
      <c r="G154">
        <v>119234</v>
      </c>
      <c r="H154">
        <v>4</v>
      </c>
      <c r="I154">
        <v>95.58</v>
      </c>
      <c r="J154">
        <v>14</v>
      </c>
      <c r="K154" t="s">
        <v>33</v>
      </c>
      <c r="L154" t="s">
        <v>23</v>
      </c>
      <c r="M154" s="1">
        <f>Table1[[#This Row],[Hire_Date]]</f>
        <v>44058</v>
      </c>
      <c r="N154">
        <f>MONTH(Table1[[#This Row],[Hire_Date]])</f>
        <v>8</v>
      </c>
      <c r="O154" t="str">
        <f>TEXT(Table1[[#This Row],[Hire_Date]],"mmmm")</f>
        <v>August</v>
      </c>
      <c r="P154" t="str">
        <f>IF(Table1[[#This Row],[Salary]]&lt;40000,"Low",IF(Table1[[#This Row],[Salary]]&lt;70000,"Medium",IF(Table1[[#This Row],[Salary]]&gt;70000,"High")))</f>
        <v>High</v>
      </c>
    </row>
    <row r="155" spans="1:16" x14ac:dyDescent="0.35">
      <c r="A155" t="s">
        <v>324</v>
      </c>
      <c r="B155" t="s">
        <v>291</v>
      </c>
      <c r="C155" t="s">
        <v>14</v>
      </c>
      <c r="D155" t="s">
        <v>26</v>
      </c>
      <c r="E155" t="s">
        <v>32</v>
      </c>
      <c r="F155" s="1">
        <v>43478</v>
      </c>
      <c r="G155">
        <v>95170</v>
      </c>
      <c r="H155">
        <v>4</v>
      </c>
      <c r="I155">
        <v>86.05</v>
      </c>
      <c r="J155">
        <v>33</v>
      </c>
      <c r="K155" t="s">
        <v>33</v>
      </c>
      <c r="L155" t="s">
        <v>28</v>
      </c>
      <c r="M155" s="1">
        <f>Table1[[#This Row],[Hire_Date]]</f>
        <v>43478</v>
      </c>
      <c r="N155">
        <f>MONTH(Table1[[#This Row],[Hire_Date]])</f>
        <v>1</v>
      </c>
      <c r="O155" t="str">
        <f>TEXT(Table1[[#This Row],[Hire_Date]],"mmmm")</f>
        <v>January</v>
      </c>
      <c r="P155" t="str">
        <f>IF(Table1[[#This Row],[Salary]]&lt;40000,"Low",IF(Table1[[#This Row],[Salary]]&lt;70000,"Medium",IF(Table1[[#This Row],[Salary]]&gt;70000,"High")))</f>
        <v>High</v>
      </c>
    </row>
    <row r="156" spans="1:16" x14ac:dyDescent="0.35">
      <c r="A156" t="s">
        <v>325</v>
      </c>
      <c r="B156" t="s">
        <v>326</v>
      </c>
      <c r="C156" t="s">
        <v>39</v>
      </c>
      <c r="D156" t="s">
        <v>31</v>
      </c>
      <c r="E156" t="s">
        <v>16</v>
      </c>
      <c r="F156" s="1">
        <v>45556</v>
      </c>
      <c r="G156">
        <v>108342</v>
      </c>
      <c r="H156">
        <v>3</v>
      </c>
      <c r="I156">
        <v>91.11</v>
      </c>
      <c r="J156">
        <v>38</v>
      </c>
      <c r="K156" t="s">
        <v>17</v>
      </c>
      <c r="L156" t="s">
        <v>28</v>
      </c>
      <c r="M156" s="1">
        <f>Table1[[#This Row],[Hire_Date]]</f>
        <v>45556</v>
      </c>
      <c r="N156">
        <f>MONTH(Table1[[#This Row],[Hire_Date]])</f>
        <v>9</v>
      </c>
      <c r="O156" t="str">
        <f>TEXT(Table1[[#This Row],[Hire_Date]],"mmmm")</f>
        <v>September</v>
      </c>
      <c r="P156" t="str">
        <f>IF(Table1[[#This Row],[Salary]]&lt;40000,"Low",IF(Table1[[#This Row],[Salary]]&lt;70000,"Medium",IF(Table1[[#This Row],[Salary]]&gt;70000,"High")))</f>
        <v>High</v>
      </c>
    </row>
    <row r="157" spans="1:16" x14ac:dyDescent="0.35">
      <c r="A157" t="s">
        <v>327</v>
      </c>
      <c r="B157" t="s">
        <v>328</v>
      </c>
      <c r="C157" t="s">
        <v>14</v>
      </c>
      <c r="D157" t="s">
        <v>21</v>
      </c>
      <c r="E157" t="s">
        <v>16</v>
      </c>
      <c r="F157" s="1">
        <v>45324</v>
      </c>
      <c r="G157">
        <v>67127</v>
      </c>
      <c r="H157">
        <v>5</v>
      </c>
      <c r="I157">
        <v>97.85</v>
      </c>
      <c r="J157">
        <v>36</v>
      </c>
      <c r="K157" t="s">
        <v>33</v>
      </c>
      <c r="L157" t="s">
        <v>18</v>
      </c>
      <c r="M157" s="1">
        <f>Table1[[#This Row],[Hire_Date]]</f>
        <v>45324</v>
      </c>
      <c r="N157">
        <f>MONTH(Table1[[#This Row],[Hire_Date]])</f>
        <v>2</v>
      </c>
      <c r="O157" t="str">
        <f>TEXT(Table1[[#This Row],[Hire_Date]],"mmmm")</f>
        <v>February</v>
      </c>
      <c r="P157" t="str">
        <f>IF(Table1[[#This Row],[Salary]]&lt;40000,"Low",IF(Table1[[#This Row],[Salary]]&lt;70000,"Medium",IF(Table1[[#This Row],[Salary]]&gt;70000,"High")))</f>
        <v>Medium</v>
      </c>
    </row>
    <row r="158" spans="1:16" x14ac:dyDescent="0.35">
      <c r="A158" t="s">
        <v>329</v>
      </c>
      <c r="B158" t="s">
        <v>330</v>
      </c>
      <c r="C158" t="s">
        <v>39</v>
      </c>
      <c r="D158" t="s">
        <v>21</v>
      </c>
      <c r="E158" t="s">
        <v>27</v>
      </c>
      <c r="F158" s="1">
        <v>43161</v>
      </c>
      <c r="G158">
        <v>105205</v>
      </c>
      <c r="H158">
        <v>5</v>
      </c>
      <c r="I158">
        <v>87.67</v>
      </c>
      <c r="J158">
        <v>16</v>
      </c>
      <c r="K158" t="s">
        <v>17</v>
      </c>
      <c r="L158" t="s">
        <v>23</v>
      </c>
      <c r="M158" s="1">
        <f>Table1[[#This Row],[Hire_Date]]</f>
        <v>43161</v>
      </c>
      <c r="N158">
        <f>MONTH(Table1[[#This Row],[Hire_Date]])</f>
        <v>3</v>
      </c>
      <c r="O158" t="str">
        <f>TEXT(Table1[[#This Row],[Hire_Date]],"mmmm")</f>
        <v>March</v>
      </c>
      <c r="P158" t="str">
        <f>IF(Table1[[#This Row],[Salary]]&lt;40000,"Low",IF(Table1[[#This Row],[Salary]]&lt;70000,"Medium",IF(Table1[[#This Row],[Salary]]&gt;70000,"High")))</f>
        <v>High</v>
      </c>
    </row>
    <row r="159" spans="1:16" x14ac:dyDescent="0.35">
      <c r="A159" t="s">
        <v>331</v>
      </c>
      <c r="B159" t="s">
        <v>332</v>
      </c>
      <c r="C159" t="s">
        <v>14</v>
      </c>
      <c r="D159" t="s">
        <v>31</v>
      </c>
      <c r="E159" t="s">
        <v>22</v>
      </c>
      <c r="F159" s="1">
        <v>44098</v>
      </c>
      <c r="G159">
        <v>67242</v>
      </c>
      <c r="H159">
        <v>4</v>
      </c>
      <c r="I159">
        <v>98.28</v>
      </c>
      <c r="J159">
        <v>17</v>
      </c>
      <c r="K159" t="s">
        <v>17</v>
      </c>
      <c r="L159" t="s">
        <v>34</v>
      </c>
      <c r="M159" s="1">
        <f>Table1[[#This Row],[Hire_Date]]</f>
        <v>44098</v>
      </c>
      <c r="N159">
        <f>MONTH(Table1[[#This Row],[Hire_Date]])</f>
        <v>9</v>
      </c>
      <c r="O159" t="str">
        <f>TEXT(Table1[[#This Row],[Hire_Date]],"mmmm")</f>
        <v>September</v>
      </c>
      <c r="P159" t="str">
        <f>IF(Table1[[#This Row],[Salary]]&lt;40000,"Low",IF(Table1[[#This Row],[Salary]]&lt;70000,"Medium",IF(Table1[[#This Row],[Salary]]&gt;70000,"High")))</f>
        <v>Medium</v>
      </c>
    </row>
    <row r="160" spans="1:16" x14ac:dyDescent="0.35">
      <c r="A160" t="s">
        <v>333</v>
      </c>
      <c r="B160" t="s">
        <v>334</v>
      </c>
      <c r="C160" t="s">
        <v>39</v>
      </c>
      <c r="D160" t="s">
        <v>15</v>
      </c>
      <c r="E160" t="s">
        <v>32</v>
      </c>
      <c r="F160" s="1">
        <v>45442</v>
      </c>
      <c r="G160">
        <v>31739</v>
      </c>
      <c r="H160">
        <v>3</v>
      </c>
      <c r="I160">
        <v>84.28</v>
      </c>
      <c r="J160">
        <v>7</v>
      </c>
      <c r="K160" t="s">
        <v>33</v>
      </c>
      <c r="L160" t="s">
        <v>23</v>
      </c>
      <c r="M160" s="1">
        <f>Table1[[#This Row],[Hire_Date]]</f>
        <v>45442</v>
      </c>
      <c r="N160">
        <f>MONTH(Table1[[#This Row],[Hire_Date]])</f>
        <v>5</v>
      </c>
      <c r="O160" t="str">
        <f>TEXT(Table1[[#This Row],[Hire_Date]],"mmmm")</f>
        <v>May</v>
      </c>
      <c r="P160" t="str">
        <f>IF(Table1[[#This Row],[Salary]]&lt;40000,"Low",IF(Table1[[#This Row],[Salary]]&lt;70000,"Medium",IF(Table1[[#This Row],[Salary]]&gt;70000,"High")))</f>
        <v>Low</v>
      </c>
    </row>
    <row r="161" spans="1:16" x14ac:dyDescent="0.35">
      <c r="A161" t="s">
        <v>335</v>
      </c>
      <c r="B161" t="s">
        <v>336</v>
      </c>
      <c r="C161" t="s">
        <v>14</v>
      </c>
      <c r="D161" t="s">
        <v>21</v>
      </c>
      <c r="E161" t="s">
        <v>22</v>
      </c>
      <c r="F161" s="1">
        <v>45575</v>
      </c>
      <c r="G161">
        <v>37799</v>
      </c>
      <c r="H161">
        <v>1</v>
      </c>
      <c r="I161">
        <v>89.65</v>
      </c>
      <c r="J161">
        <v>33</v>
      </c>
      <c r="K161" t="s">
        <v>33</v>
      </c>
      <c r="L161" t="s">
        <v>18</v>
      </c>
      <c r="M161" s="1">
        <f>Table1[[#This Row],[Hire_Date]]</f>
        <v>45575</v>
      </c>
      <c r="N161">
        <f>MONTH(Table1[[#This Row],[Hire_Date]])</f>
        <v>10</v>
      </c>
      <c r="O161" t="str">
        <f>TEXT(Table1[[#This Row],[Hire_Date]],"mmmm")</f>
        <v>October</v>
      </c>
      <c r="P161" t="str">
        <f>IF(Table1[[#This Row],[Salary]]&lt;40000,"Low",IF(Table1[[#This Row],[Salary]]&lt;70000,"Medium",IF(Table1[[#This Row],[Salary]]&gt;70000,"High")))</f>
        <v>Low</v>
      </c>
    </row>
    <row r="162" spans="1:16" x14ac:dyDescent="0.35">
      <c r="A162" t="s">
        <v>337</v>
      </c>
      <c r="B162" t="s">
        <v>338</v>
      </c>
      <c r="C162" t="s">
        <v>39</v>
      </c>
      <c r="D162" t="s">
        <v>21</v>
      </c>
      <c r="E162" t="s">
        <v>27</v>
      </c>
      <c r="F162" s="1">
        <v>43372</v>
      </c>
      <c r="G162">
        <v>101075</v>
      </c>
      <c r="H162">
        <v>1</v>
      </c>
      <c r="I162">
        <v>84.42</v>
      </c>
      <c r="J162">
        <v>15</v>
      </c>
      <c r="K162" t="s">
        <v>33</v>
      </c>
      <c r="L162" t="s">
        <v>23</v>
      </c>
      <c r="M162" s="1">
        <f>Table1[[#This Row],[Hire_Date]]</f>
        <v>43372</v>
      </c>
      <c r="N162">
        <f>MONTH(Table1[[#This Row],[Hire_Date]])</f>
        <v>9</v>
      </c>
      <c r="O162" t="str">
        <f>TEXT(Table1[[#This Row],[Hire_Date]],"mmmm")</f>
        <v>September</v>
      </c>
      <c r="P162" t="str">
        <f>IF(Table1[[#This Row],[Salary]]&lt;40000,"Low",IF(Table1[[#This Row],[Salary]]&lt;70000,"Medium",IF(Table1[[#This Row],[Salary]]&gt;70000,"High")))</f>
        <v>High</v>
      </c>
    </row>
    <row r="163" spans="1:16" x14ac:dyDescent="0.35">
      <c r="A163" t="s">
        <v>339</v>
      </c>
      <c r="B163" t="s">
        <v>188</v>
      </c>
      <c r="C163" t="s">
        <v>39</v>
      </c>
      <c r="D163" t="s">
        <v>21</v>
      </c>
      <c r="E163" t="s">
        <v>16</v>
      </c>
      <c r="F163" s="1">
        <v>45066</v>
      </c>
      <c r="G163">
        <v>47300</v>
      </c>
      <c r="H163">
        <v>4</v>
      </c>
      <c r="I163">
        <v>86.83</v>
      </c>
      <c r="J163">
        <v>7</v>
      </c>
      <c r="K163" t="s">
        <v>17</v>
      </c>
      <c r="L163" t="s">
        <v>23</v>
      </c>
      <c r="M163" s="1">
        <f>Table1[[#This Row],[Hire_Date]]</f>
        <v>45066</v>
      </c>
      <c r="N163">
        <f>MONTH(Table1[[#This Row],[Hire_Date]])</f>
        <v>5</v>
      </c>
      <c r="O163" t="str">
        <f>TEXT(Table1[[#This Row],[Hire_Date]],"mmmm")</f>
        <v>May</v>
      </c>
      <c r="P163" t="str">
        <f>IF(Table1[[#This Row],[Salary]]&lt;40000,"Low",IF(Table1[[#This Row],[Salary]]&lt;70000,"Medium",IF(Table1[[#This Row],[Salary]]&gt;70000,"High")))</f>
        <v>Medium</v>
      </c>
    </row>
    <row r="164" spans="1:16" x14ac:dyDescent="0.35">
      <c r="A164" t="s">
        <v>340</v>
      </c>
      <c r="B164" t="s">
        <v>341</v>
      </c>
      <c r="C164" t="s">
        <v>39</v>
      </c>
      <c r="D164" t="s">
        <v>15</v>
      </c>
      <c r="E164" t="s">
        <v>27</v>
      </c>
      <c r="F164" s="1">
        <v>43275</v>
      </c>
      <c r="G164">
        <v>102194</v>
      </c>
      <c r="H164">
        <v>2</v>
      </c>
      <c r="I164">
        <v>95.73</v>
      </c>
      <c r="J164">
        <v>4</v>
      </c>
      <c r="K164" t="s">
        <v>33</v>
      </c>
      <c r="L164" t="s">
        <v>23</v>
      </c>
      <c r="M164" s="1">
        <f>Table1[[#This Row],[Hire_Date]]</f>
        <v>43275</v>
      </c>
      <c r="N164">
        <f>MONTH(Table1[[#This Row],[Hire_Date]])</f>
        <v>6</v>
      </c>
      <c r="O164" t="str">
        <f>TEXT(Table1[[#This Row],[Hire_Date]],"mmmm")</f>
        <v>June</v>
      </c>
      <c r="P164" t="str">
        <f>IF(Table1[[#This Row],[Salary]]&lt;40000,"Low",IF(Table1[[#This Row],[Salary]]&lt;70000,"Medium",IF(Table1[[#This Row],[Salary]]&gt;70000,"High")))</f>
        <v>High</v>
      </c>
    </row>
    <row r="165" spans="1:16" x14ac:dyDescent="0.35">
      <c r="A165" t="s">
        <v>342</v>
      </c>
      <c r="B165" t="s">
        <v>343</v>
      </c>
      <c r="C165" t="s">
        <v>14</v>
      </c>
      <c r="D165" t="s">
        <v>26</v>
      </c>
      <c r="E165" t="s">
        <v>27</v>
      </c>
      <c r="F165" s="1">
        <v>43274</v>
      </c>
      <c r="G165">
        <v>118970</v>
      </c>
      <c r="H165">
        <v>1</v>
      </c>
      <c r="I165">
        <v>79.37</v>
      </c>
      <c r="J165">
        <v>33</v>
      </c>
      <c r="K165" t="s">
        <v>33</v>
      </c>
      <c r="L165" t="s">
        <v>23</v>
      </c>
      <c r="M165" s="1">
        <f>Table1[[#This Row],[Hire_Date]]</f>
        <v>43274</v>
      </c>
      <c r="N165">
        <f>MONTH(Table1[[#This Row],[Hire_Date]])</f>
        <v>6</v>
      </c>
      <c r="O165" t="str">
        <f>TEXT(Table1[[#This Row],[Hire_Date]],"mmmm")</f>
        <v>June</v>
      </c>
      <c r="P165" t="str">
        <f>IF(Table1[[#This Row],[Salary]]&lt;40000,"Low",IF(Table1[[#This Row],[Salary]]&lt;70000,"Medium",IF(Table1[[#This Row],[Salary]]&gt;70000,"High")))</f>
        <v>High</v>
      </c>
    </row>
    <row r="166" spans="1:16" x14ac:dyDescent="0.35">
      <c r="A166" t="s">
        <v>344</v>
      </c>
      <c r="B166" t="s">
        <v>182</v>
      </c>
      <c r="C166" t="s">
        <v>14</v>
      </c>
      <c r="D166" t="s">
        <v>15</v>
      </c>
      <c r="E166" t="s">
        <v>22</v>
      </c>
      <c r="F166" s="1">
        <v>44745</v>
      </c>
      <c r="G166">
        <v>116880</v>
      </c>
      <c r="H166">
        <v>3</v>
      </c>
      <c r="I166">
        <v>86.11</v>
      </c>
      <c r="J166">
        <v>33</v>
      </c>
      <c r="K166" t="s">
        <v>17</v>
      </c>
      <c r="L166" t="s">
        <v>23</v>
      </c>
      <c r="M166" s="1">
        <f>Table1[[#This Row],[Hire_Date]]</f>
        <v>44745</v>
      </c>
      <c r="N166">
        <f>MONTH(Table1[[#This Row],[Hire_Date]])</f>
        <v>7</v>
      </c>
      <c r="O166" t="str">
        <f>TEXT(Table1[[#This Row],[Hire_Date]],"mmmm")</f>
        <v>July</v>
      </c>
      <c r="P166" t="str">
        <f>IF(Table1[[#This Row],[Salary]]&lt;40000,"Low",IF(Table1[[#This Row],[Salary]]&lt;70000,"Medium",IF(Table1[[#This Row],[Salary]]&gt;70000,"High")))</f>
        <v>High</v>
      </c>
    </row>
    <row r="167" spans="1:16" x14ac:dyDescent="0.35">
      <c r="A167" t="s">
        <v>345</v>
      </c>
      <c r="B167" t="s">
        <v>346</v>
      </c>
      <c r="C167" t="s">
        <v>39</v>
      </c>
      <c r="D167" t="s">
        <v>21</v>
      </c>
      <c r="E167" t="s">
        <v>16</v>
      </c>
      <c r="F167" s="1">
        <v>44691</v>
      </c>
      <c r="G167">
        <v>58272</v>
      </c>
      <c r="H167">
        <v>3</v>
      </c>
      <c r="I167">
        <v>90.41</v>
      </c>
      <c r="J167">
        <v>38</v>
      </c>
      <c r="K167" t="s">
        <v>17</v>
      </c>
      <c r="L167" t="s">
        <v>23</v>
      </c>
      <c r="M167" s="1">
        <f>Table1[[#This Row],[Hire_Date]]</f>
        <v>44691</v>
      </c>
      <c r="N167">
        <f>MONTH(Table1[[#This Row],[Hire_Date]])</f>
        <v>5</v>
      </c>
      <c r="O167" t="str">
        <f>TEXT(Table1[[#This Row],[Hire_Date]],"mmmm")</f>
        <v>May</v>
      </c>
      <c r="P167" t="str">
        <f>IF(Table1[[#This Row],[Salary]]&lt;40000,"Low",IF(Table1[[#This Row],[Salary]]&lt;70000,"Medium",IF(Table1[[#This Row],[Salary]]&gt;70000,"High")))</f>
        <v>Medium</v>
      </c>
    </row>
    <row r="168" spans="1:16" x14ac:dyDescent="0.35">
      <c r="A168" t="s">
        <v>347</v>
      </c>
      <c r="B168" t="s">
        <v>348</v>
      </c>
      <c r="C168" t="s">
        <v>14</v>
      </c>
      <c r="D168" t="s">
        <v>26</v>
      </c>
      <c r="E168" t="s">
        <v>16</v>
      </c>
      <c r="F168" s="1">
        <v>45001</v>
      </c>
      <c r="G168">
        <v>61852</v>
      </c>
      <c r="H168">
        <v>5</v>
      </c>
      <c r="I168">
        <v>79.06</v>
      </c>
      <c r="J168">
        <v>33</v>
      </c>
      <c r="K168" t="s">
        <v>33</v>
      </c>
      <c r="L168" t="s">
        <v>18</v>
      </c>
      <c r="M168" s="1">
        <f>Table1[[#This Row],[Hire_Date]]</f>
        <v>45001</v>
      </c>
      <c r="N168">
        <f>MONTH(Table1[[#This Row],[Hire_Date]])</f>
        <v>3</v>
      </c>
      <c r="O168" t="str">
        <f>TEXT(Table1[[#This Row],[Hire_Date]],"mmmm")</f>
        <v>March</v>
      </c>
      <c r="P168" t="str">
        <f>IF(Table1[[#This Row],[Salary]]&lt;40000,"Low",IF(Table1[[#This Row],[Salary]]&lt;70000,"Medium",IF(Table1[[#This Row],[Salary]]&gt;70000,"High")))</f>
        <v>Medium</v>
      </c>
    </row>
    <row r="169" spans="1:16" x14ac:dyDescent="0.35">
      <c r="A169" t="s">
        <v>349</v>
      </c>
      <c r="B169" t="s">
        <v>350</v>
      </c>
      <c r="C169" t="s">
        <v>39</v>
      </c>
      <c r="D169" t="s">
        <v>26</v>
      </c>
      <c r="E169" t="s">
        <v>32</v>
      </c>
      <c r="F169" s="1">
        <v>43646</v>
      </c>
      <c r="G169">
        <v>26829</v>
      </c>
      <c r="H169">
        <v>1</v>
      </c>
      <c r="I169">
        <v>98.11</v>
      </c>
      <c r="J169">
        <v>31</v>
      </c>
      <c r="K169" t="s">
        <v>17</v>
      </c>
      <c r="L169" t="s">
        <v>23</v>
      </c>
      <c r="M169" s="1">
        <f>Table1[[#This Row],[Hire_Date]]</f>
        <v>43646</v>
      </c>
      <c r="N169">
        <f>MONTH(Table1[[#This Row],[Hire_Date]])</f>
        <v>6</v>
      </c>
      <c r="O169" t="str">
        <f>TEXT(Table1[[#This Row],[Hire_Date]],"mmmm")</f>
        <v>June</v>
      </c>
      <c r="P169" t="str">
        <f>IF(Table1[[#This Row],[Salary]]&lt;40000,"Low",IF(Table1[[#This Row],[Salary]]&lt;70000,"Medium",IF(Table1[[#This Row],[Salary]]&gt;70000,"High")))</f>
        <v>Low</v>
      </c>
    </row>
    <row r="170" spans="1:16" x14ac:dyDescent="0.35">
      <c r="A170" t="s">
        <v>351</v>
      </c>
      <c r="B170" t="s">
        <v>352</v>
      </c>
      <c r="C170" t="s">
        <v>39</v>
      </c>
      <c r="D170" t="s">
        <v>44</v>
      </c>
      <c r="E170" t="s">
        <v>32</v>
      </c>
      <c r="F170" s="1">
        <v>43678</v>
      </c>
      <c r="G170">
        <v>45831</v>
      </c>
      <c r="H170">
        <v>1</v>
      </c>
      <c r="I170">
        <v>80.61</v>
      </c>
      <c r="J170">
        <v>15</v>
      </c>
      <c r="K170" t="s">
        <v>33</v>
      </c>
      <c r="L170" t="s">
        <v>34</v>
      </c>
      <c r="M170" s="1">
        <f>Table1[[#This Row],[Hire_Date]]</f>
        <v>43678</v>
      </c>
      <c r="N170">
        <f>MONTH(Table1[[#This Row],[Hire_Date]])</f>
        <v>8</v>
      </c>
      <c r="O170" t="str">
        <f>TEXT(Table1[[#This Row],[Hire_Date]],"mmmm")</f>
        <v>August</v>
      </c>
      <c r="P170" t="str">
        <f>IF(Table1[[#This Row],[Salary]]&lt;40000,"Low",IF(Table1[[#This Row],[Salary]]&lt;70000,"Medium",IF(Table1[[#This Row],[Salary]]&gt;70000,"High")))</f>
        <v>Medium</v>
      </c>
    </row>
    <row r="171" spans="1:16" x14ac:dyDescent="0.35">
      <c r="A171" t="s">
        <v>353</v>
      </c>
      <c r="B171" t="s">
        <v>354</v>
      </c>
      <c r="C171" t="s">
        <v>14</v>
      </c>
      <c r="D171" t="s">
        <v>15</v>
      </c>
      <c r="E171" t="s">
        <v>22</v>
      </c>
      <c r="F171" s="1">
        <v>44094</v>
      </c>
      <c r="G171">
        <v>82906</v>
      </c>
      <c r="H171">
        <v>4</v>
      </c>
      <c r="I171">
        <v>75.099999999999994</v>
      </c>
      <c r="J171">
        <v>19</v>
      </c>
      <c r="K171" t="s">
        <v>17</v>
      </c>
      <c r="L171" t="s">
        <v>23</v>
      </c>
      <c r="M171" s="1">
        <f>Table1[[#This Row],[Hire_Date]]</f>
        <v>44094</v>
      </c>
      <c r="N171">
        <f>MONTH(Table1[[#This Row],[Hire_Date]])</f>
        <v>9</v>
      </c>
      <c r="O171" t="str">
        <f>TEXT(Table1[[#This Row],[Hire_Date]],"mmmm")</f>
        <v>September</v>
      </c>
      <c r="P171" t="str">
        <f>IF(Table1[[#This Row],[Salary]]&lt;40000,"Low",IF(Table1[[#This Row],[Salary]]&lt;70000,"Medium",IF(Table1[[#This Row],[Salary]]&gt;70000,"High")))</f>
        <v>High</v>
      </c>
    </row>
    <row r="172" spans="1:16" x14ac:dyDescent="0.35">
      <c r="A172" t="s">
        <v>355</v>
      </c>
      <c r="B172" t="s">
        <v>356</v>
      </c>
      <c r="C172" t="s">
        <v>39</v>
      </c>
      <c r="D172" t="s">
        <v>26</v>
      </c>
      <c r="E172" t="s">
        <v>27</v>
      </c>
      <c r="F172" s="1">
        <v>44631</v>
      </c>
      <c r="G172">
        <v>102360</v>
      </c>
      <c r="H172">
        <v>4</v>
      </c>
      <c r="I172">
        <v>97.04</v>
      </c>
      <c r="J172">
        <v>29</v>
      </c>
      <c r="K172" t="s">
        <v>17</v>
      </c>
      <c r="L172" t="s">
        <v>28</v>
      </c>
      <c r="M172" s="1">
        <f>Table1[[#This Row],[Hire_Date]]</f>
        <v>44631</v>
      </c>
      <c r="N172">
        <f>MONTH(Table1[[#This Row],[Hire_Date]])</f>
        <v>3</v>
      </c>
      <c r="O172" t="str">
        <f>TEXT(Table1[[#This Row],[Hire_Date]],"mmmm")</f>
        <v>March</v>
      </c>
      <c r="P172" t="str">
        <f>IF(Table1[[#This Row],[Salary]]&lt;40000,"Low",IF(Table1[[#This Row],[Salary]]&lt;70000,"Medium",IF(Table1[[#This Row],[Salary]]&gt;70000,"High")))</f>
        <v>High</v>
      </c>
    </row>
    <row r="173" spans="1:16" x14ac:dyDescent="0.35">
      <c r="A173" t="s">
        <v>357</v>
      </c>
      <c r="B173" t="s">
        <v>358</v>
      </c>
      <c r="C173" t="s">
        <v>39</v>
      </c>
      <c r="D173" t="s">
        <v>26</v>
      </c>
      <c r="E173" t="s">
        <v>22</v>
      </c>
      <c r="F173" s="1">
        <v>43583</v>
      </c>
      <c r="G173">
        <v>107350</v>
      </c>
      <c r="H173">
        <v>4</v>
      </c>
      <c r="I173">
        <v>97.29</v>
      </c>
      <c r="J173">
        <v>13</v>
      </c>
      <c r="K173" t="s">
        <v>33</v>
      </c>
      <c r="L173" t="s">
        <v>23</v>
      </c>
      <c r="M173" s="1">
        <f>Table1[[#This Row],[Hire_Date]]</f>
        <v>43583</v>
      </c>
      <c r="N173">
        <f>MONTH(Table1[[#This Row],[Hire_Date]])</f>
        <v>4</v>
      </c>
      <c r="O173" t="str">
        <f>TEXT(Table1[[#This Row],[Hire_Date]],"mmmm")</f>
        <v>April</v>
      </c>
      <c r="P173" t="str">
        <f>IF(Table1[[#This Row],[Salary]]&lt;40000,"Low",IF(Table1[[#This Row],[Salary]]&lt;70000,"Medium",IF(Table1[[#This Row],[Salary]]&gt;70000,"High")))</f>
        <v>High</v>
      </c>
    </row>
    <row r="174" spans="1:16" x14ac:dyDescent="0.35">
      <c r="A174" t="s">
        <v>359</v>
      </c>
      <c r="B174" t="s">
        <v>360</v>
      </c>
      <c r="C174" t="s">
        <v>39</v>
      </c>
      <c r="D174" t="s">
        <v>15</v>
      </c>
      <c r="E174" t="s">
        <v>27</v>
      </c>
      <c r="F174" s="1">
        <v>44660</v>
      </c>
      <c r="G174">
        <v>106866</v>
      </c>
      <c r="H174">
        <v>3</v>
      </c>
      <c r="I174">
        <v>91.38</v>
      </c>
      <c r="J174">
        <v>1</v>
      </c>
      <c r="K174" t="s">
        <v>17</v>
      </c>
      <c r="L174" t="s">
        <v>28</v>
      </c>
      <c r="M174" s="1">
        <f>Table1[[#This Row],[Hire_Date]]</f>
        <v>44660</v>
      </c>
      <c r="N174">
        <f>MONTH(Table1[[#This Row],[Hire_Date]])</f>
        <v>4</v>
      </c>
      <c r="O174" t="str">
        <f>TEXT(Table1[[#This Row],[Hire_Date]],"mmmm")</f>
        <v>April</v>
      </c>
      <c r="P174" t="str">
        <f>IF(Table1[[#This Row],[Salary]]&lt;40000,"Low",IF(Table1[[#This Row],[Salary]]&lt;70000,"Medium",IF(Table1[[#This Row],[Salary]]&gt;70000,"High")))</f>
        <v>High</v>
      </c>
    </row>
    <row r="175" spans="1:16" x14ac:dyDescent="0.35">
      <c r="A175" t="s">
        <v>361</v>
      </c>
      <c r="B175" t="s">
        <v>362</v>
      </c>
      <c r="C175" t="s">
        <v>14</v>
      </c>
      <c r="D175" t="s">
        <v>15</v>
      </c>
      <c r="E175" t="s">
        <v>32</v>
      </c>
      <c r="F175" s="1">
        <v>45096</v>
      </c>
      <c r="G175">
        <v>37994</v>
      </c>
      <c r="H175">
        <v>2</v>
      </c>
      <c r="I175">
        <v>94.15</v>
      </c>
      <c r="J175">
        <v>39</v>
      </c>
      <c r="K175" t="s">
        <v>33</v>
      </c>
      <c r="L175" t="s">
        <v>23</v>
      </c>
      <c r="M175" s="1">
        <f>Table1[[#This Row],[Hire_Date]]</f>
        <v>45096</v>
      </c>
      <c r="N175">
        <f>MONTH(Table1[[#This Row],[Hire_Date]])</f>
        <v>6</v>
      </c>
      <c r="O175" t="str">
        <f>TEXT(Table1[[#This Row],[Hire_Date]],"mmmm")</f>
        <v>June</v>
      </c>
      <c r="P175" t="str">
        <f>IF(Table1[[#This Row],[Salary]]&lt;40000,"Low",IF(Table1[[#This Row],[Salary]]&lt;70000,"Medium",IF(Table1[[#This Row],[Salary]]&gt;70000,"High")))</f>
        <v>Low</v>
      </c>
    </row>
    <row r="176" spans="1:16" x14ac:dyDescent="0.35">
      <c r="A176" t="s">
        <v>363</v>
      </c>
      <c r="B176" t="s">
        <v>50</v>
      </c>
      <c r="C176" t="s">
        <v>39</v>
      </c>
      <c r="D176" t="s">
        <v>21</v>
      </c>
      <c r="E176" t="s">
        <v>32</v>
      </c>
      <c r="F176" s="1">
        <v>43702</v>
      </c>
      <c r="G176">
        <v>71748</v>
      </c>
      <c r="H176">
        <v>2</v>
      </c>
      <c r="I176">
        <v>97.92</v>
      </c>
      <c r="J176">
        <v>0</v>
      </c>
      <c r="K176" t="s">
        <v>17</v>
      </c>
      <c r="L176" t="s">
        <v>28</v>
      </c>
      <c r="M176" s="1">
        <f>Table1[[#This Row],[Hire_Date]]</f>
        <v>43702</v>
      </c>
      <c r="N176">
        <f>MONTH(Table1[[#This Row],[Hire_Date]])</f>
        <v>8</v>
      </c>
      <c r="O176" t="str">
        <f>TEXT(Table1[[#This Row],[Hire_Date]],"mmmm")</f>
        <v>August</v>
      </c>
      <c r="P176" t="str">
        <f>IF(Table1[[#This Row],[Salary]]&lt;40000,"Low",IF(Table1[[#This Row],[Salary]]&lt;70000,"Medium",IF(Table1[[#This Row],[Salary]]&gt;70000,"High")))</f>
        <v>High</v>
      </c>
    </row>
    <row r="177" spans="1:16" x14ac:dyDescent="0.35">
      <c r="A177" t="s">
        <v>364</v>
      </c>
      <c r="B177" t="s">
        <v>126</v>
      </c>
      <c r="C177" t="s">
        <v>39</v>
      </c>
      <c r="D177" t="s">
        <v>21</v>
      </c>
      <c r="E177" t="s">
        <v>27</v>
      </c>
      <c r="F177" s="1">
        <v>43442</v>
      </c>
      <c r="G177">
        <v>85710</v>
      </c>
      <c r="H177">
        <v>5</v>
      </c>
      <c r="I177">
        <v>99.97</v>
      </c>
      <c r="J177">
        <v>30</v>
      </c>
      <c r="K177" t="s">
        <v>17</v>
      </c>
      <c r="L177" t="s">
        <v>23</v>
      </c>
      <c r="M177" s="1">
        <f>Table1[[#This Row],[Hire_Date]]</f>
        <v>43442</v>
      </c>
      <c r="N177">
        <f>MONTH(Table1[[#This Row],[Hire_Date]])</f>
        <v>12</v>
      </c>
      <c r="O177" t="str">
        <f>TEXT(Table1[[#This Row],[Hire_Date]],"mmmm")</f>
        <v>December</v>
      </c>
      <c r="P177" t="str">
        <f>IF(Table1[[#This Row],[Salary]]&lt;40000,"Low",IF(Table1[[#This Row],[Salary]]&lt;70000,"Medium",IF(Table1[[#This Row],[Salary]]&gt;70000,"High")))</f>
        <v>High</v>
      </c>
    </row>
    <row r="178" spans="1:16" x14ac:dyDescent="0.35">
      <c r="A178" t="s">
        <v>365</v>
      </c>
      <c r="B178" t="s">
        <v>366</v>
      </c>
      <c r="C178" t="s">
        <v>39</v>
      </c>
      <c r="D178" t="s">
        <v>21</v>
      </c>
      <c r="E178" t="s">
        <v>22</v>
      </c>
      <c r="F178" s="1">
        <v>44644</v>
      </c>
      <c r="G178">
        <v>91075</v>
      </c>
      <c r="H178">
        <v>5</v>
      </c>
      <c r="I178">
        <v>76.290000000000006</v>
      </c>
      <c r="J178">
        <v>30</v>
      </c>
      <c r="K178" t="s">
        <v>33</v>
      </c>
      <c r="L178" t="s">
        <v>18</v>
      </c>
      <c r="M178" s="1">
        <f>Table1[[#This Row],[Hire_Date]]</f>
        <v>44644</v>
      </c>
      <c r="N178">
        <f>MONTH(Table1[[#This Row],[Hire_Date]])</f>
        <v>3</v>
      </c>
      <c r="O178" t="str">
        <f>TEXT(Table1[[#This Row],[Hire_Date]],"mmmm")</f>
        <v>March</v>
      </c>
      <c r="P178" t="str">
        <f>IF(Table1[[#This Row],[Salary]]&lt;40000,"Low",IF(Table1[[#This Row],[Salary]]&lt;70000,"Medium",IF(Table1[[#This Row],[Salary]]&gt;70000,"High")))</f>
        <v>High</v>
      </c>
    </row>
    <row r="179" spans="1:16" x14ac:dyDescent="0.35">
      <c r="A179" t="s">
        <v>367</v>
      </c>
      <c r="B179" t="s">
        <v>128</v>
      </c>
      <c r="C179" t="s">
        <v>14</v>
      </c>
      <c r="D179" t="s">
        <v>44</v>
      </c>
      <c r="E179" t="s">
        <v>32</v>
      </c>
      <c r="F179" s="1">
        <v>44264</v>
      </c>
      <c r="G179">
        <v>45460</v>
      </c>
      <c r="H179">
        <v>2</v>
      </c>
      <c r="I179">
        <v>97.87</v>
      </c>
      <c r="J179">
        <v>34</v>
      </c>
      <c r="K179" t="s">
        <v>33</v>
      </c>
      <c r="L179" t="s">
        <v>28</v>
      </c>
      <c r="M179" s="1">
        <f>Table1[[#This Row],[Hire_Date]]</f>
        <v>44264</v>
      </c>
      <c r="N179">
        <f>MONTH(Table1[[#This Row],[Hire_Date]])</f>
        <v>3</v>
      </c>
      <c r="O179" t="str">
        <f>TEXT(Table1[[#This Row],[Hire_Date]],"mmmm")</f>
        <v>March</v>
      </c>
      <c r="P179" t="str">
        <f>IF(Table1[[#This Row],[Salary]]&lt;40000,"Low",IF(Table1[[#This Row],[Salary]]&lt;70000,"Medium",IF(Table1[[#This Row],[Salary]]&gt;70000,"High")))</f>
        <v>Medium</v>
      </c>
    </row>
    <row r="180" spans="1:16" x14ac:dyDescent="0.35">
      <c r="A180" t="s">
        <v>368</v>
      </c>
      <c r="B180" t="s">
        <v>369</v>
      </c>
      <c r="C180" t="s">
        <v>14</v>
      </c>
      <c r="D180" t="s">
        <v>21</v>
      </c>
      <c r="E180" t="s">
        <v>22</v>
      </c>
      <c r="F180" s="1">
        <v>44312</v>
      </c>
      <c r="G180">
        <v>81836</v>
      </c>
      <c r="H180">
        <v>2</v>
      </c>
      <c r="I180">
        <v>76.45</v>
      </c>
      <c r="J180">
        <v>29</v>
      </c>
      <c r="K180" t="s">
        <v>33</v>
      </c>
      <c r="L180" t="s">
        <v>34</v>
      </c>
      <c r="M180" s="1">
        <f>Table1[[#This Row],[Hire_Date]]</f>
        <v>44312</v>
      </c>
      <c r="N180">
        <f>MONTH(Table1[[#This Row],[Hire_Date]])</f>
        <v>4</v>
      </c>
      <c r="O180" t="str">
        <f>TEXT(Table1[[#This Row],[Hire_Date]],"mmmm")</f>
        <v>April</v>
      </c>
      <c r="P180" t="str">
        <f>IF(Table1[[#This Row],[Salary]]&lt;40000,"Low",IF(Table1[[#This Row],[Salary]]&lt;70000,"Medium",IF(Table1[[#This Row],[Salary]]&gt;70000,"High")))</f>
        <v>High</v>
      </c>
    </row>
    <row r="181" spans="1:16" x14ac:dyDescent="0.35">
      <c r="A181" t="s">
        <v>370</v>
      </c>
      <c r="B181" t="s">
        <v>371</v>
      </c>
      <c r="C181" t="s">
        <v>14</v>
      </c>
      <c r="D181" t="s">
        <v>31</v>
      </c>
      <c r="E181" t="s">
        <v>22</v>
      </c>
      <c r="F181" s="1">
        <v>45484</v>
      </c>
      <c r="G181">
        <v>31305</v>
      </c>
      <c r="H181">
        <v>2</v>
      </c>
      <c r="I181">
        <v>94.21</v>
      </c>
      <c r="J181">
        <v>9</v>
      </c>
      <c r="K181" t="s">
        <v>17</v>
      </c>
      <c r="L181" t="s">
        <v>18</v>
      </c>
      <c r="M181" s="1">
        <f>Table1[[#This Row],[Hire_Date]]</f>
        <v>45484</v>
      </c>
      <c r="N181">
        <f>MONTH(Table1[[#This Row],[Hire_Date]])</f>
        <v>7</v>
      </c>
      <c r="O181" t="str">
        <f>TEXT(Table1[[#This Row],[Hire_Date]],"mmmm")</f>
        <v>July</v>
      </c>
      <c r="P181" t="str">
        <f>IF(Table1[[#This Row],[Salary]]&lt;40000,"Low",IF(Table1[[#This Row],[Salary]]&lt;70000,"Medium",IF(Table1[[#This Row],[Salary]]&gt;70000,"High")))</f>
        <v>Low</v>
      </c>
    </row>
    <row r="182" spans="1:16" x14ac:dyDescent="0.35">
      <c r="A182" t="s">
        <v>372</v>
      </c>
      <c r="B182" t="s">
        <v>373</v>
      </c>
      <c r="C182" t="s">
        <v>14</v>
      </c>
      <c r="D182" t="s">
        <v>31</v>
      </c>
      <c r="E182" t="s">
        <v>27</v>
      </c>
      <c r="F182" s="1">
        <v>45111</v>
      </c>
      <c r="G182">
        <v>30127</v>
      </c>
      <c r="H182">
        <v>4</v>
      </c>
      <c r="I182">
        <v>91.97</v>
      </c>
      <c r="J182">
        <v>7</v>
      </c>
      <c r="K182" t="s">
        <v>17</v>
      </c>
      <c r="L182" t="s">
        <v>28</v>
      </c>
      <c r="M182" s="1">
        <f>Table1[[#This Row],[Hire_Date]]</f>
        <v>45111</v>
      </c>
      <c r="N182">
        <f>MONTH(Table1[[#This Row],[Hire_Date]])</f>
        <v>7</v>
      </c>
      <c r="O182" t="str">
        <f>TEXT(Table1[[#This Row],[Hire_Date]],"mmmm")</f>
        <v>July</v>
      </c>
      <c r="P182" t="str">
        <f>IF(Table1[[#This Row],[Salary]]&lt;40000,"Low",IF(Table1[[#This Row],[Salary]]&lt;70000,"Medium",IF(Table1[[#This Row],[Salary]]&gt;70000,"High")))</f>
        <v>Low</v>
      </c>
    </row>
    <row r="183" spans="1:16" x14ac:dyDescent="0.35">
      <c r="A183" t="s">
        <v>374</v>
      </c>
      <c r="B183" t="s">
        <v>239</v>
      </c>
      <c r="C183" t="s">
        <v>14</v>
      </c>
      <c r="D183" t="s">
        <v>21</v>
      </c>
      <c r="E183" t="s">
        <v>16</v>
      </c>
      <c r="F183" s="1">
        <v>45334</v>
      </c>
      <c r="G183">
        <v>43816</v>
      </c>
      <c r="H183">
        <v>2</v>
      </c>
      <c r="I183">
        <v>78.12</v>
      </c>
      <c r="J183">
        <v>22</v>
      </c>
      <c r="K183" t="s">
        <v>33</v>
      </c>
      <c r="L183" t="s">
        <v>28</v>
      </c>
      <c r="M183" s="1">
        <f>Table1[[#This Row],[Hire_Date]]</f>
        <v>45334</v>
      </c>
      <c r="N183">
        <f>MONTH(Table1[[#This Row],[Hire_Date]])</f>
        <v>2</v>
      </c>
      <c r="O183" t="str">
        <f>TEXT(Table1[[#This Row],[Hire_Date]],"mmmm")</f>
        <v>February</v>
      </c>
      <c r="P183" t="str">
        <f>IF(Table1[[#This Row],[Salary]]&lt;40000,"Low",IF(Table1[[#This Row],[Salary]]&lt;70000,"Medium",IF(Table1[[#This Row],[Salary]]&gt;70000,"High")))</f>
        <v>Medium</v>
      </c>
    </row>
    <row r="184" spans="1:16" x14ac:dyDescent="0.35">
      <c r="A184" t="s">
        <v>375</v>
      </c>
      <c r="B184" t="s">
        <v>376</v>
      </c>
      <c r="C184" t="s">
        <v>14</v>
      </c>
      <c r="D184" t="s">
        <v>21</v>
      </c>
      <c r="E184" t="s">
        <v>22</v>
      </c>
      <c r="F184" s="1">
        <v>45449</v>
      </c>
      <c r="G184">
        <v>38732</v>
      </c>
      <c r="H184">
        <v>5</v>
      </c>
      <c r="I184">
        <v>92.08</v>
      </c>
      <c r="J184">
        <v>27</v>
      </c>
      <c r="K184" t="s">
        <v>33</v>
      </c>
      <c r="L184" t="s">
        <v>34</v>
      </c>
      <c r="M184" s="1">
        <f>Table1[[#This Row],[Hire_Date]]</f>
        <v>45449</v>
      </c>
      <c r="N184">
        <f>MONTH(Table1[[#This Row],[Hire_Date]])</f>
        <v>6</v>
      </c>
      <c r="O184" t="str">
        <f>TEXT(Table1[[#This Row],[Hire_Date]],"mmmm")</f>
        <v>June</v>
      </c>
      <c r="P184" t="str">
        <f>IF(Table1[[#This Row],[Salary]]&lt;40000,"Low",IF(Table1[[#This Row],[Salary]]&lt;70000,"Medium",IF(Table1[[#This Row],[Salary]]&gt;70000,"High")))</f>
        <v>Low</v>
      </c>
    </row>
    <row r="185" spans="1:16" x14ac:dyDescent="0.35">
      <c r="A185" t="s">
        <v>377</v>
      </c>
      <c r="B185" t="s">
        <v>378</v>
      </c>
      <c r="C185" t="s">
        <v>39</v>
      </c>
      <c r="D185" t="s">
        <v>26</v>
      </c>
      <c r="E185" t="s">
        <v>16</v>
      </c>
      <c r="F185" s="1">
        <v>45340</v>
      </c>
      <c r="G185">
        <v>107937</v>
      </c>
      <c r="H185">
        <v>3</v>
      </c>
      <c r="I185">
        <v>91.94</v>
      </c>
      <c r="J185">
        <v>18</v>
      </c>
      <c r="K185" t="s">
        <v>33</v>
      </c>
      <c r="L185" t="s">
        <v>18</v>
      </c>
      <c r="M185" s="1">
        <f>Table1[[#This Row],[Hire_Date]]</f>
        <v>45340</v>
      </c>
      <c r="N185">
        <f>MONTH(Table1[[#This Row],[Hire_Date]])</f>
        <v>2</v>
      </c>
      <c r="O185" t="str">
        <f>TEXT(Table1[[#This Row],[Hire_Date]],"mmmm")</f>
        <v>February</v>
      </c>
      <c r="P185" t="str">
        <f>IF(Table1[[#This Row],[Salary]]&lt;40000,"Low",IF(Table1[[#This Row],[Salary]]&lt;70000,"Medium",IF(Table1[[#This Row],[Salary]]&gt;70000,"High")))</f>
        <v>High</v>
      </c>
    </row>
    <row r="186" spans="1:16" x14ac:dyDescent="0.35">
      <c r="A186" t="s">
        <v>379</v>
      </c>
      <c r="B186" t="s">
        <v>380</v>
      </c>
      <c r="C186" t="s">
        <v>39</v>
      </c>
      <c r="D186" t="s">
        <v>26</v>
      </c>
      <c r="E186" t="s">
        <v>27</v>
      </c>
      <c r="F186" s="1">
        <v>44766</v>
      </c>
      <c r="G186">
        <v>76419</v>
      </c>
      <c r="H186">
        <v>2</v>
      </c>
      <c r="I186">
        <v>77.98</v>
      </c>
      <c r="J186">
        <v>31</v>
      </c>
      <c r="K186" t="s">
        <v>17</v>
      </c>
      <c r="L186" t="s">
        <v>34</v>
      </c>
      <c r="M186" s="1">
        <f>Table1[[#This Row],[Hire_Date]]</f>
        <v>44766</v>
      </c>
      <c r="N186">
        <f>MONTH(Table1[[#This Row],[Hire_Date]])</f>
        <v>7</v>
      </c>
      <c r="O186" t="str">
        <f>TEXT(Table1[[#This Row],[Hire_Date]],"mmmm")</f>
        <v>July</v>
      </c>
      <c r="P186" t="str">
        <f>IF(Table1[[#This Row],[Salary]]&lt;40000,"Low",IF(Table1[[#This Row],[Salary]]&lt;70000,"Medium",IF(Table1[[#This Row],[Salary]]&gt;70000,"High")))</f>
        <v>High</v>
      </c>
    </row>
    <row r="187" spans="1:16" x14ac:dyDescent="0.35">
      <c r="A187" t="s">
        <v>381</v>
      </c>
      <c r="B187" t="s">
        <v>382</v>
      </c>
      <c r="C187" t="s">
        <v>39</v>
      </c>
      <c r="D187" t="s">
        <v>26</v>
      </c>
      <c r="E187" t="s">
        <v>22</v>
      </c>
      <c r="F187" s="1">
        <v>44639</v>
      </c>
      <c r="G187">
        <v>73992</v>
      </c>
      <c r="H187">
        <v>5</v>
      </c>
      <c r="I187">
        <v>80.83</v>
      </c>
      <c r="J187">
        <v>2</v>
      </c>
      <c r="K187" t="s">
        <v>33</v>
      </c>
      <c r="L187" t="s">
        <v>23</v>
      </c>
      <c r="M187" s="1">
        <f>Table1[[#This Row],[Hire_Date]]</f>
        <v>44639</v>
      </c>
      <c r="N187">
        <f>MONTH(Table1[[#This Row],[Hire_Date]])</f>
        <v>3</v>
      </c>
      <c r="O187" t="str">
        <f>TEXT(Table1[[#This Row],[Hire_Date]],"mmmm")</f>
        <v>March</v>
      </c>
      <c r="P187" t="str">
        <f>IF(Table1[[#This Row],[Salary]]&lt;40000,"Low",IF(Table1[[#This Row],[Salary]]&lt;70000,"Medium",IF(Table1[[#This Row],[Salary]]&gt;70000,"High")))</f>
        <v>High</v>
      </c>
    </row>
    <row r="188" spans="1:16" x14ac:dyDescent="0.35">
      <c r="A188" t="s">
        <v>383</v>
      </c>
      <c r="B188" t="s">
        <v>384</v>
      </c>
      <c r="C188" t="s">
        <v>39</v>
      </c>
      <c r="D188" t="s">
        <v>44</v>
      </c>
      <c r="E188" t="s">
        <v>22</v>
      </c>
      <c r="F188" s="1">
        <v>44220</v>
      </c>
      <c r="G188">
        <v>96874</v>
      </c>
      <c r="H188">
        <v>5</v>
      </c>
      <c r="I188">
        <v>83.48</v>
      </c>
      <c r="J188">
        <v>1</v>
      </c>
      <c r="K188" t="s">
        <v>33</v>
      </c>
      <c r="L188" t="s">
        <v>18</v>
      </c>
      <c r="M188" s="1">
        <f>Table1[[#This Row],[Hire_Date]]</f>
        <v>44220</v>
      </c>
      <c r="N188">
        <f>MONTH(Table1[[#This Row],[Hire_Date]])</f>
        <v>1</v>
      </c>
      <c r="O188" t="str">
        <f>TEXT(Table1[[#This Row],[Hire_Date]],"mmmm")</f>
        <v>January</v>
      </c>
      <c r="P188" t="str">
        <f>IF(Table1[[#This Row],[Salary]]&lt;40000,"Low",IF(Table1[[#This Row],[Salary]]&lt;70000,"Medium",IF(Table1[[#This Row],[Salary]]&gt;70000,"High")))</f>
        <v>High</v>
      </c>
    </row>
    <row r="189" spans="1:16" x14ac:dyDescent="0.35">
      <c r="A189" t="s">
        <v>385</v>
      </c>
      <c r="B189" t="s">
        <v>386</v>
      </c>
      <c r="C189" t="s">
        <v>39</v>
      </c>
      <c r="D189" t="s">
        <v>21</v>
      </c>
      <c r="E189" t="s">
        <v>32</v>
      </c>
      <c r="F189" s="1">
        <v>44001</v>
      </c>
      <c r="G189">
        <v>38582</v>
      </c>
      <c r="H189">
        <v>1</v>
      </c>
      <c r="I189">
        <v>79.08</v>
      </c>
      <c r="J189">
        <v>14</v>
      </c>
      <c r="K189" t="s">
        <v>17</v>
      </c>
      <c r="L189" t="s">
        <v>23</v>
      </c>
      <c r="M189" s="1">
        <f>Table1[[#This Row],[Hire_Date]]</f>
        <v>44001</v>
      </c>
      <c r="N189">
        <f>MONTH(Table1[[#This Row],[Hire_Date]])</f>
        <v>6</v>
      </c>
      <c r="O189" t="str">
        <f>TEXT(Table1[[#This Row],[Hire_Date]],"mmmm")</f>
        <v>June</v>
      </c>
      <c r="P189" t="str">
        <f>IF(Table1[[#This Row],[Salary]]&lt;40000,"Low",IF(Table1[[#This Row],[Salary]]&lt;70000,"Medium",IF(Table1[[#This Row],[Salary]]&gt;70000,"High")))</f>
        <v>Low</v>
      </c>
    </row>
    <row r="190" spans="1:16" x14ac:dyDescent="0.35">
      <c r="A190" t="s">
        <v>387</v>
      </c>
      <c r="B190" t="s">
        <v>100</v>
      </c>
      <c r="C190" t="s">
        <v>14</v>
      </c>
      <c r="D190" t="s">
        <v>26</v>
      </c>
      <c r="E190" t="s">
        <v>16</v>
      </c>
      <c r="F190" s="1">
        <v>43874</v>
      </c>
      <c r="G190">
        <v>114900</v>
      </c>
      <c r="H190">
        <v>1</v>
      </c>
      <c r="I190">
        <v>90.83</v>
      </c>
      <c r="J190">
        <v>18</v>
      </c>
      <c r="K190" t="s">
        <v>17</v>
      </c>
      <c r="L190" t="s">
        <v>34</v>
      </c>
      <c r="M190" s="1">
        <f>Table1[[#This Row],[Hire_Date]]</f>
        <v>43874</v>
      </c>
      <c r="N190">
        <f>MONTH(Table1[[#This Row],[Hire_Date]])</f>
        <v>2</v>
      </c>
      <c r="O190" t="str">
        <f>TEXT(Table1[[#This Row],[Hire_Date]],"mmmm")</f>
        <v>February</v>
      </c>
      <c r="P190" t="str">
        <f>IF(Table1[[#This Row],[Salary]]&lt;40000,"Low",IF(Table1[[#This Row],[Salary]]&lt;70000,"Medium",IF(Table1[[#This Row],[Salary]]&gt;70000,"High")))</f>
        <v>High</v>
      </c>
    </row>
    <row r="191" spans="1:16" x14ac:dyDescent="0.35">
      <c r="A191" t="s">
        <v>388</v>
      </c>
      <c r="B191" t="s">
        <v>369</v>
      </c>
      <c r="C191" t="s">
        <v>39</v>
      </c>
      <c r="D191" t="s">
        <v>31</v>
      </c>
      <c r="E191" t="s">
        <v>22</v>
      </c>
      <c r="F191" s="1">
        <v>44301</v>
      </c>
      <c r="G191">
        <v>66916</v>
      </c>
      <c r="H191">
        <v>1</v>
      </c>
      <c r="I191">
        <v>77.84</v>
      </c>
      <c r="J191">
        <v>19</v>
      </c>
      <c r="K191" t="s">
        <v>17</v>
      </c>
      <c r="L191" t="s">
        <v>18</v>
      </c>
      <c r="M191" s="1">
        <f>Table1[[#This Row],[Hire_Date]]</f>
        <v>44301</v>
      </c>
      <c r="N191">
        <f>MONTH(Table1[[#This Row],[Hire_Date]])</f>
        <v>4</v>
      </c>
      <c r="O191" t="str">
        <f>TEXT(Table1[[#This Row],[Hire_Date]],"mmmm")</f>
        <v>April</v>
      </c>
      <c r="P191" t="str">
        <f>IF(Table1[[#This Row],[Salary]]&lt;40000,"Low",IF(Table1[[#This Row],[Salary]]&lt;70000,"Medium",IF(Table1[[#This Row],[Salary]]&gt;70000,"High")))</f>
        <v>Medium</v>
      </c>
    </row>
    <row r="192" spans="1:16" x14ac:dyDescent="0.35">
      <c r="A192" t="s">
        <v>389</v>
      </c>
      <c r="B192" t="s">
        <v>390</v>
      </c>
      <c r="C192" t="s">
        <v>14</v>
      </c>
      <c r="D192" t="s">
        <v>21</v>
      </c>
      <c r="E192" t="s">
        <v>27</v>
      </c>
      <c r="F192" s="1">
        <v>43861</v>
      </c>
      <c r="G192">
        <v>65269</v>
      </c>
      <c r="H192">
        <v>5</v>
      </c>
      <c r="I192">
        <v>82.89</v>
      </c>
      <c r="J192">
        <v>1</v>
      </c>
      <c r="K192" t="s">
        <v>17</v>
      </c>
      <c r="L192" t="s">
        <v>18</v>
      </c>
      <c r="M192" s="1">
        <f>Table1[[#This Row],[Hire_Date]]</f>
        <v>43861</v>
      </c>
      <c r="N192">
        <f>MONTH(Table1[[#This Row],[Hire_Date]])</f>
        <v>1</v>
      </c>
      <c r="O192" t="str">
        <f>TEXT(Table1[[#This Row],[Hire_Date]],"mmmm")</f>
        <v>January</v>
      </c>
      <c r="P192" t="str">
        <f>IF(Table1[[#This Row],[Salary]]&lt;40000,"Low",IF(Table1[[#This Row],[Salary]]&lt;70000,"Medium",IF(Table1[[#This Row],[Salary]]&gt;70000,"High")))</f>
        <v>Medium</v>
      </c>
    </row>
    <row r="193" spans="1:16" x14ac:dyDescent="0.35">
      <c r="A193" t="s">
        <v>391</v>
      </c>
      <c r="B193" t="s">
        <v>392</v>
      </c>
      <c r="C193" t="s">
        <v>39</v>
      </c>
      <c r="D193" t="s">
        <v>44</v>
      </c>
      <c r="E193" t="s">
        <v>22</v>
      </c>
      <c r="F193" s="1">
        <v>45386</v>
      </c>
      <c r="G193">
        <v>117631</v>
      </c>
      <c r="H193">
        <v>4</v>
      </c>
      <c r="I193">
        <v>92.22</v>
      </c>
      <c r="J193">
        <v>21</v>
      </c>
      <c r="K193" t="s">
        <v>17</v>
      </c>
      <c r="L193" t="s">
        <v>34</v>
      </c>
      <c r="M193" s="1">
        <f>Table1[[#This Row],[Hire_Date]]</f>
        <v>45386</v>
      </c>
      <c r="N193">
        <f>MONTH(Table1[[#This Row],[Hire_Date]])</f>
        <v>4</v>
      </c>
      <c r="O193" t="str">
        <f>TEXT(Table1[[#This Row],[Hire_Date]],"mmmm")</f>
        <v>April</v>
      </c>
      <c r="P193" t="str">
        <f>IF(Table1[[#This Row],[Salary]]&lt;40000,"Low",IF(Table1[[#This Row],[Salary]]&lt;70000,"Medium",IF(Table1[[#This Row],[Salary]]&gt;70000,"High")))</f>
        <v>High</v>
      </c>
    </row>
    <row r="194" spans="1:16" x14ac:dyDescent="0.35">
      <c r="A194" t="s">
        <v>393</v>
      </c>
      <c r="B194" t="s">
        <v>394</v>
      </c>
      <c r="C194" t="s">
        <v>14</v>
      </c>
      <c r="D194" t="s">
        <v>31</v>
      </c>
      <c r="E194" t="s">
        <v>32</v>
      </c>
      <c r="F194" s="1">
        <v>44047</v>
      </c>
      <c r="G194">
        <v>46842</v>
      </c>
      <c r="H194">
        <v>3</v>
      </c>
      <c r="I194">
        <v>76.86</v>
      </c>
      <c r="J194">
        <v>20</v>
      </c>
      <c r="K194" t="s">
        <v>17</v>
      </c>
      <c r="L194" t="s">
        <v>23</v>
      </c>
      <c r="M194" s="1">
        <f>Table1[[#This Row],[Hire_Date]]</f>
        <v>44047</v>
      </c>
      <c r="N194">
        <f>MONTH(Table1[[#This Row],[Hire_Date]])</f>
        <v>8</v>
      </c>
      <c r="O194" t="str">
        <f>TEXT(Table1[[#This Row],[Hire_Date]],"mmmm")</f>
        <v>August</v>
      </c>
      <c r="P194" t="str">
        <f>IF(Table1[[#This Row],[Salary]]&lt;40000,"Low",IF(Table1[[#This Row],[Salary]]&lt;70000,"Medium",IF(Table1[[#This Row],[Salary]]&gt;70000,"High")))</f>
        <v>Medium</v>
      </c>
    </row>
    <row r="195" spans="1:16" x14ac:dyDescent="0.35">
      <c r="A195" t="s">
        <v>395</v>
      </c>
      <c r="B195" t="s">
        <v>293</v>
      </c>
      <c r="C195" t="s">
        <v>14</v>
      </c>
      <c r="D195" t="s">
        <v>21</v>
      </c>
      <c r="E195" t="s">
        <v>22</v>
      </c>
      <c r="F195" s="1">
        <v>44119</v>
      </c>
      <c r="G195">
        <v>114289</v>
      </c>
      <c r="H195">
        <v>4</v>
      </c>
      <c r="I195">
        <v>81.760000000000005</v>
      </c>
      <c r="J195">
        <v>1</v>
      </c>
      <c r="K195" t="s">
        <v>17</v>
      </c>
      <c r="L195" t="s">
        <v>28</v>
      </c>
      <c r="M195" s="1">
        <f>Table1[[#This Row],[Hire_Date]]</f>
        <v>44119</v>
      </c>
      <c r="N195">
        <f>MONTH(Table1[[#This Row],[Hire_Date]])</f>
        <v>10</v>
      </c>
      <c r="O195" t="str">
        <f>TEXT(Table1[[#This Row],[Hire_Date]],"mmmm")</f>
        <v>October</v>
      </c>
      <c r="P195" t="str">
        <f>IF(Table1[[#This Row],[Salary]]&lt;40000,"Low",IF(Table1[[#This Row],[Salary]]&lt;70000,"Medium",IF(Table1[[#This Row],[Salary]]&gt;70000,"High")))</f>
        <v>High</v>
      </c>
    </row>
    <row r="196" spans="1:16" x14ac:dyDescent="0.35">
      <c r="A196" t="s">
        <v>396</v>
      </c>
      <c r="B196" t="s">
        <v>397</v>
      </c>
      <c r="C196" t="s">
        <v>14</v>
      </c>
      <c r="D196" t="s">
        <v>44</v>
      </c>
      <c r="E196" t="s">
        <v>32</v>
      </c>
      <c r="F196" s="1">
        <v>44593</v>
      </c>
      <c r="G196">
        <v>43114</v>
      </c>
      <c r="H196">
        <v>2</v>
      </c>
      <c r="I196">
        <v>80.73</v>
      </c>
      <c r="J196">
        <v>36</v>
      </c>
      <c r="K196" t="s">
        <v>33</v>
      </c>
      <c r="L196" t="s">
        <v>23</v>
      </c>
      <c r="M196" s="1">
        <f>Table1[[#This Row],[Hire_Date]]</f>
        <v>44593</v>
      </c>
      <c r="N196">
        <f>MONTH(Table1[[#This Row],[Hire_Date]])</f>
        <v>2</v>
      </c>
      <c r="O196" t="str">
        <f>TEXT(Table1[[#This Row],[Hire_Date]],"mmmm")</f>
        <v>February</v>
      </c>
      <c r="P196" t="str">
        <f>IF(Table1[[#This Row],[Salary]]&lt;40000,"Low",IF(Table1[[#This Row],[Salary]]&lt;70000,"Medium",IF(Table1[[#This Row],[Salary]]&gt;70000,"High")))</f>
        <v>Medium</v>
      </c>
    </row>
    <row r="197" spans="1:16" x14ac:dyDescent="0.35">
      <c r="A197" t="s">
        <v>398</v>
      </c>
      <c r="B197" t="s">
        <v>399</v>
      </c>
      <c r="C197" t="s">
        <v>39</v>
      </c>
      <c r="D197" t="s">
        <v>31</v>
      </c>
      <c r="E197" t="s">
        <v>22</v>
      </c>
      <c r="F197" s="1">
        <v>44971</v>
      </c>
      <c r="G197">
        <v>86112</v>
      </c>
      <c r="H197">
        <v>3</v>
      </c>
      <c r="I197">
        <v>86.57</v>
      </c>
      <c r="J197">
        <v>4</v>
      </c>
      <c r="K197" t="s">
        <v>17</v>
      </c>
      <c r="L197" t="s">
        <v>23</v>
      </c>
      <c r="M197" s="1">
        <f>Table1[[#This Row],[Hire_Date]]</f>
        <v>44971</v>
      </c>
      <c r="N197">
        <f>MONTH(Table1[[#This Row],[Hire_Date]])</f>
        <v>2</v>
      </c>
      <c r="O197" t="str">
        <f>TEXT(Table1[[#This Row],[Hire_Date]],"mmmm")</f>
        <v>February</v>
      </c>
      <c r="P197" t="str">
        <f>IF(Table1[[#This Row],[Salary]]&lt;40000,"Low",IF(Table1[[#This Row],[Salary]]&lt;70000,"Medium",IF(Table1[[#This Row],[Salary]]&gt;70000,"High")))</f>
        <v>High</v>
      </c>
    </row>
    <row r="198" spans="1:16" x14ac:dyDescent="0.35">
      <c r="A198" t="s">
        <v>400</v>
      </c>
      <c r="B198" t="s">
        <v>138</v>
      </c>
      <c r="C198" t="s">
        <v>14</v>
      </c>
      <c r="D198" t="s">
        <v>26</v>
      </c>
      <c r="E198" t="s">
        <v>22</v>
      </c>
      <c r="F198" s="1">
        <v>44494</v>
      </c>
      <c r="G198">
        <v>87299</v>
      </c>
      <c r="H198">
        <v>5</v>
      </c>
      <c r="I198">
        <v>81.260000000000005</v>
      </c>
      <c r="J198">
        <v>10</v>
      </c>
      <c r="K198" t="s">
        <v>33</v>
      </c>
      <c r="L198" t="s">
        <v>23</v>
      </c>
      <c r="M198" s="1">
        <f>Table1[[#This Row],[Hire_Date]]</f>
        <v>44494</v>
      </c>
      <c r="N198">
        <f>MONTH(Table1[[#This Row],[Hire_Date]])</f>
        <v>10</v>
      </c>
      <c r="O198" t="str">
        <f>TEXT(Table1[[#This Row],[Hire_Date]],"mmmm")</f>
        <v>October</v>
      </c>
      <c r="P198" t="str">
        <f>IF(Table1[[#This Row],[Salary]]&lt;40000,"Low",IF(Table1[[#This Row],[Salary]]&lt;70000,"Medium",IF(Table1[[#This Row],[Salary]]&gt;70000,"High")))</f>
        <v>High</v>
      </c>
    </row>
    <row r="199" spans="1:16" x14ac:dyDescent="0.35">
      <c r="A199" t="s">
        <v>401</v>
      </c>
      <c r="B199" t="s">
        <v>402</v>
      </c>
      <c r="C199" t="s">
        <v>39</v>
      </c>
      <c r="D199" t="s">
        <v>44</v>
      </c>
      <c r="E199" t="s">
        <v>16</v>
      </c>
      <c r="F199" s="1">
        <v>44771</v>
      </c>
      <c r="G199">
        <v>105837</v>
      </c>
      <c r="H199">
        <v>5</v>
      </c>
      <c r="I199">
        <v>95.21</v>
      </c>
      <c r="J199">
        <v>9</v>
      </c>
      <c r="K199" t="s">
        <v>33</v>
      </c>
      <c r="L199" t="s">
        <v>23</v>
      </c>
      <c r="M199" s="1">
        <f>Table1[[#This Row],[Hire_Date]]</f>
        <v>44771</v>
      </c>
      <c r="N199">
        <f>MONTH(Table1[[#This Row],[Hire_Date]])</f>
        <v>7</v>
      </c>
      <c r="O199" t="str">
        <f>TEXT(Table1[[#This Row],[Hire_Date]],"mmmm")</f>
        <v>July</v>
      </c>
      <c r="P199" t="str">
        <f>IF(Table1[[#This Row],[Salary]]&lt;40000,"Low",IF(Table1[[#This Row],[Salary]]&lt;70000,"Medium",IF(Table1[[#This Row],[Salary]]&gt;70000,"High")))</f>
        <v>High</v>
      </c>
    </row>
    <row r="200" spans="1:16" x14ac:dyDescent="0.35">
      <c r="A200" t="s">
        <v>403</v>
      </c>
      <c r="B200" t="s">
        <v>41</v>
      </c>
      <c r="C200" t="s">
        <v>39</v>
      </c>
      <c r="D200" t="s">
        <v>15</v>
      </c>
      <c r="E200" t="s">
        <v>22</v>
      </c>
      <c r="F200" s="1">
        <v>44442</v>
      </c>
      <c r="G200">
        <v>92963</v>
      </c>
      <c r="H200">
        <v>1</v>
      </c>
      <c r="I200">
        <v>83.66</v>
      </c>
      <c r="J200">
        <v>16</v>
      </c>
      <c r="K200" t="s">
        <v>17</v>
      </c>
      <c r="L200" t="s">
        <v>34</v>
      </c>
      <c r="M200" s="1">
        <f>Table1[[#This Row],[Hire_Date]]</f>
        <v>44442</v>
      </c>
      <c r="N200">
        <f>MONTH(Table1[[#This Row],[Hire_Date]])</f>
        <v>9</v>
      </c>
      <c r="O200" t="str">
        <f>TEXT(Table1[[#This Row],[Hire_Date]],"mmmm")</f>
        <v>September</v>
      </c>
      <c r="P200" t="str">
        <f>IF(Table1[[#This Row],[Salary]]&lt;40000,"Low",IF(Table1[[#This Row],[Salary]]&lt;70000,"Medium",IF(Table1[[#This Row],[Salary]]&gt;70000,"High")))</f>
        <v>High</v>
      </c>
    </row>
    <row r="201" spans="1:16" x14ac:dyDescent="0.35">
      <c r="A201" t="s">
        <v>404</v>
      </c>
      <c r="B201" t="s">
        <v>405</v>
      </c>
      <c r="C201" t="s">
        <v>39</v>
      </c>
      <c r="D201" t="s">
        <v>44</v>
      </c>
      <c r="E201" t="s">
        <v>22</v>
      </c>
      <c r="F201" s="1">
        <v>43807</v>
      </c>
      <c r="G201">
        <v>33700</v>
      </c>
      <c r="H201">
        <v>3</v>
      </c>
      <c r="I201">
        <v>82.96</v>
      </c>
      <c r="J201">
        <v>2</v>
      </c>
      <c r="K201" t="s">
        <v>17</v>
      </c>
      <c r="L201" t="s">
        <v>23</v>
      </c>
      <c r="M201" s="1">
        <f>Table1[[#This Row],[Hire_Date]]</f>
        <v>43807</v>
      </c>
      <c r="N201">
        <f>MONTH(Table1[[#This Row],[Hire_Date]])</f>
        <v>12</v>
      </c>
      <c r="O201" t="str">
        <f>TEXT(Table1[[#This Row],[Hire_Date]],"mmmm")</f>
        <v>December</v>
      </c>
      <c r="P201" t="str">
        <f>IF(Table1[[#This Row],[Salary]]&lt;40000,"Low",IF(Table1[[#This Row],[Salary]]&lt;70000,"Medium",IF(Table1[[#This Row],[Salary]]&gt;70000,"High")))</f>
        <v>Low</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4EE57-28B3-48D3-A771-FA39D3FC46A0}">
  <dimension ref="A1"/>
  <sheetViews>
    <sheetView showGridLines="0" showRowColHeaders="0" tabSelected="1" topLeftCell="B1" zoomScale="67" zoomScaleNormal="85" workbookViewId="0">
      <selection activeCell="C6" sqref="C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HR_Data</vt:lpstr>
      <vt:lpstr>HR Analytics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Harshal Patange</cp:lastModifiedBy>
  <dcterms:created xsi:type="dcterms:W3CDTF">2026-02-10T12:20:28Z</dcterms:created>
  <dcterms:modified xsi:type="dcterms:W3CDTF">2026-02-24T04:32:18Z</dcterms:modified>
</cp:coreProperties>
</file>